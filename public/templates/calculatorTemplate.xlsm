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L:\INSURANCE FOLDER\Templates\"/>
    </mc:Choice>
  </mc:AlternateContent>
  <xr:revisionPtr revIDLastSave="0" documentId="13_ncr:1_{4D14AEDF-105C-4CC6-AE8B-253AA92D59E9}" xr6:coauthVersionLast="47" xr6:coauthVersionMax="47" xr10:uidLastSave="{00000000-0000-0000-0000-000000000000}"/>
  <bookViews>
    <workbookView xWindow="-108" yWindow="-108" windowWidth="23256" windowHeight="12576" tabRatio="706" activeTab="1" xr2:uid="{00000000-000D-0000-FFFF-FFFF00000000}"/>
  </bookViews>
  <sheets>
    <sheet name="Read Me First" sheetId="14" r:id="rId1"/>
    <sheet name="Res &amp; Com Calculator" sheetId="12" r:id="rId2"/>
    <sheet name=" Condo Calculator" sheetId="8" r:id="rId3"/>
    <sheet name="Private Flood Ins Checklist" sheetId="19" r:id="rId4"/>
    <sheet name="PRIVATE FLOOD INFORMATION" sheetId="20" r:id="rId5"/>
    <sheet name="Insurable Value Waterfall" sheetId="15" r:id="rId6"/>
    <sheet name="Drop Down" sheetId="2" state="hidden" r:id="rId7"/>
  </sheets>
  <definedNames>
    <definedName name="_xlnm.Print_Area" localSheetId="3">'Private Flood Ins Checklist'!$B$1:$H$39</definedName>
    <definedName name="_xlnm.Print_Area" localSheetId="1">'Res &amp; Com Calculator'!$A$1:$L$78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53" i="8" l="1"/>
  <c r="F53" i="8" s="1"/>
  <c r="D53" i="8"/>
  <c r="E56" i="8"/>
  <c r="F72" i="12"/>
  <c r="B62" i="12"/>
  <c r="E72" i="12"/>
  <c r="D72" i="12"/>
  <c r="D75" i="12"/>
  <c r="B79" i="12"/>
  <c r="D78" i="12" s="1"/>
  <c r="E75" i="12" l="1"/>
  <c r="F75" i="12" s="1"/>
  <c r="B61" i="12" l="1"/>
  <c r="G25" i="19" l="1"/>
  <c r="G24" i="19" l="1"/>
  <c r="B19" i="19" l="1"/>
  <c r="A19" i="19" s="1"/>
  <c r="B20" i="19" l="1"/>
  <c r="H23" i="19" l="1"/>
  <c r="B35" i="19" s="1"/>
  <c r="L37" i="12" l="1"/>
  <c r="K37" i="12"/>
  <c r="J37" i="12"/>
  <c r="I37" i="12"/>
  <c r="L36" i="12"/>
  <c r="K36" i="12"/>
  <c r="J36" i="12"/>
  <c r="I36" i="12"/>
  <c r="H36" i="12"/>
  <c r="H37" i="12" s="1"/>
  <c r="G36" i="12"/>
  <c r="G37" i="12" s="1"/>
  <c r="F36" i="12"/>
  <c r="F37" i="12" s="1"/>
  <c r="E36" i="12"/>
  <c r="E37" i="12" s="1"/>
  <c r="D55" i="12"/>
  <c r="D57" i="12" s="1"/>
  <c r="D36" i="12"/>
  <c r="D37" i="12" s="1"/>
  <c r="C27" i="8"/>
  <c r="C55" i="12" l="1"/>
  <c r="C57" i="12" s="1"/>
  <c r="L55" i="12"/>
  <c r="L57" i="12" s="1"/>
  <c r="K55" i="12"/>
  <c r="K57" i="12" s="1"/>
  <c r="J55" i="12"/>
  <c r="J57" i="12" s="1"/>
  <c r="I55" i="12"/>
  <c r="I57" i="12" s="1"/>
  <c r="H55" i="12"/>
  <c r="H57" i="12" s="1"/>
  <c r="G55" i="12"/>
  <c r="G57" i="12" s="1"/>
  <c r="F55" i="12"/>
  <c r="F57" i="12" s="1"/>
  <c r="E55" i="12"/>
  <c r="E57" i="12" s="1"/>
  <c r="E73" i="12" l="1"/>
  <c r="E74" i="12" s="1"/>
  <c r="L28" i="12" l="1"/>
  <c r="K28" i="12"/>
  <c r="J28" i="12"/>
  <c r="I28" i="12"/>
  <c r="L23" i="12"/>
  <c r="L27" i="12" s="1"/>
  <c r="K23" i="12"/>
  <c r="K27" i="12" s="1"/>
  <c r="J23" i="12"/>
  <c r="J27" i="12" s="1"/>
  <c r="I23" i="12"/>
  <c r="I27" i="12" s="1"/>
  <c r="H23" i="12"/>
  <c r="H27" i="12" s="1"/>
  <c r="H28" i="12" s="1"/>
  <c r="G23" i="12"/>
  <c r="G27" i="12" s="1"/>
  <c r="G28" i="12" s="1"/>
  <c r="F23" i="12"/>
  <c r="F27" i="12" s="1"/>
  <c r="F28" i="12" s="1"/>
  <c r="E23" i="12"/>
  <c r="E27" i="12" s="1"/>
  <c r="E28" i="12" s="1"/>
  <c r="D23" i="12"/>
  <c r="D27" i="12" s="1"/>
  <c r="D28" i="12" s="1"/>
  <c r="L36" i="8" l="1"/>
  <c r="L38" i="8" s="1"/>
  <c r="K36" i="8"/>
  <c r="K38" i="8" s="1"/>
  <c r="J36" i="8"/>
  <c r="J38" i="8" s="1"/>
  <c r="I36" i="8"/>
  <c r="I38" i="8" s="1"/>
  <c r="H36" i="8"/>
  <c r="H38" i="8" s="1"/>
  <c r="G36" i="8"/>
  <c r="G38" i="8" s="1"/>
  <c r="F36" i="8"/>
  <c r="F38" i="8" s="1"/>
  <c r="E36" i="8"/>
  <c r="E38" i="8" s="1"/>
  <c r="D36" i="8"/>
  <c r="D38" i="8" s="1"/>
  <c r="C22" i="8"/>
  <c r="B30" i="8"/>
  <c r="L27" i="8"/>
  <c r="K27" i="8"/>
  <c r="J27" i="8"/>
  <c r="I27" i="8"/>
  <c r="H27" i="8"/>
  <c r="G27" i="8"/>
  <c r="F27" i="8"/>
  <c r="E27" i="8"/>
  <c r="D27" i="8"/>
  <c r="B25" i="8"/>
  <c r="C21" i="8"/>
  <c r="C23" i="8" s="1"/>
  <c r="D22" i="8"/>
  <c r="D21" i="8"/>
  <c r="E21" i="8"/>
  <c r="F21" i="8"/>
  <c r="G21" i="8"/>
  <c r="H21" i="8"/>
  <c r="I21" i="8"/>
  <c r="J21" i="8"/>
  <c r="K21" i="8"/>
  <c r="L21" i="8"/>
  <c r="D56" i="8" l="1"/>
  <c r="F56" i="8" s="1"/>
  <c r="B42" i="8"/>
  <c r="H53" i="8"/>
  <c r="H71" i="12" l="1"/>
  <c r="B49" i="12" l="1"/>
  <c r="B45" i="12"/>
  <c r="C36" i="12"/>
  <c r="H2" i="19" l="1"/>
  <c r="D2" i="19"/>
  <c r="H3" i="19" l="1"/>
  <c r="D3" i="19"/>
  <c r="B8" i="19" l="1"/>
  <c r="E42" i="12" l="1"/>
  <c r="C23" i="12"/>
  <c r="C27" i="12" l="1"/>
  <c r="C37" i="12"/>
  <c r="C28" i="12" l="1"/>
  <c r="C42" i="12"/>
  <c r="L41" i="12"/>
  <c r="K41" i="12"/>
  <c r="J41" i="12"/>
  <c r="I41" i="12"/>
  <c r="H41" i="12"/>
  <c r="G41" i="12"/>
  <c r="F41" i="12"/>
  <c r="E41" i="12"/>
  <c r="E43" i="12" s="1"/>
  <c r="D41" i="12"/>
  <c r="C41" i="12"/>
  <c r="L42" i="12"/>
  <c r="K42" i="12"/>
  <c r="H42" i="12"/>
  <c r="C43" i="12" l="1"/>
  <c r="K43" i="12"/>
  <c r="H43" i="12"/>
  <c r="L43" i="12"/>
  <c r="J42" i="12"/>
  <c r="J43" i="12" s="1"/>
  <c r="G42" i="12"/>
  <c r="G43" i="12" s="1"/>
  <c r="I42" i="12"/>
  <c r="I43" i="12" s="1"/>
  <c r="F42" i="12"/>
  <c r="F43" i="12" s="1"/>
  <c r="C36" i="8"/>
  <c r="C38" i="8" l="1"/>
  <c r="E54" i="8" s="1"/>
  <c r="D42" i="12"/>
  <c r="D43" i="12" s="1"/>
  <c r="D73" i="12" s="1"/>
  <c r="E55" i="8" l="1"/>
  <c r="D74" i="12"/>
  <c r="F73" i="12"/>
  <c r="F74" i="12" s="1"/>
  <c r="F76" i="12" l="1"/>
  <c r="D77" i="12"/>
  <c r="G54" i="8"/>
  <c r="L22" i="8"/>
  <c r="K22" i="8"/>
  <c r="J22" i="8"/>
  <c r="I22" i="8"/>
  <c r="H22" i="8"/>
  <c r="G22" i="8"/>
  <c r="F22" i="8"/>
  <c r="E22" i="8"/>
  <c r="D23" i="8" l="1"/>
  <c r="H23" i="8"/>
  <c r="L23" i="8"/>
  <c r="F23" i="8"/>
  <c r="J23" i="8"/>
  <c r="E23" i="8"/>
  <c r="I23" i="8"/>
  <c r="G23" i="8"/>
  <c r="K23" i="8"/>
  <c r="D54" i="8" l="1"/>
  <c r="F54" i="8" s="1"/>
  <c r="F55" i="8" s="1"/>
  <c r="F57" i="8" s="1"/>
  <c r="D55" i="8" l="1"/>
  <c r="D58"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Tabari-Dunn, Neda</author>
  </authors>
  <commentList>
    <comment ref="B14" authorId="0" shapeId="0" xr:uid="{00000000-0006-0000-0100-000001000000}">
      <text>
        <r>
          <rPr>
            <b/>
            <sz val="9"/>
            <color indexed="81"/>
            <rFont val="Tahoma"/>
            <family val="2"/>
          </rPr>
          <t>USER:</t>
        </r>
        <r>
          <rPr>
            <sz val="9"/>
            <color indexed="81"/>
            <rFont val="Tahoma"/>
            <family val="2"/>
          </rPr>
          <t xml:space="preserve">
Flood hazard areas identified on the Flood Insurance Rate Map are identified as a Special Flood Hazard Area (SFHA). SFHA are defined as the area that will be inundated by the flood event having a 1-percent chance of being equaled or exceeded in any given year. The 1-percent annual chance flood is also referred to as the base flood or 100-year flood. SFHAs are labeled as Zone A, Zone AO, Zone AH, Zones A1-A30, Zone AE, Zone A99, Zone AR, Zone AR/AE, Zone AR/AO, Zone AR/A1-A30, Zone AR/A, Zone V, Zone VE, and Zones V1-V30. Moderate flood hazard areas, labeled Zone B or Zone X (shaded) are also shown on the FIRM, and are the areas between the limits of the base flood and the 0.2-percent-annual-chance (or 500-year) flood. The areas of minimal flood hazard, which are the areas outside the SFHA and higher than the elevation of the 0.2-percent-annual-chance flood, are labeled Zone C or Zone X.</t>
        </r>
      </text>
    </comment>
    <comment ref="B32" authorId="0" shapeId="0" xr:uid="{00000000-0006-0000-0100-000002000000}">
      <text>
        <r>
          <rPr>
            <b/>
            <sz val="9"/>
            <color indexed="81"/>
            <rFont val="Tahoma"/>
            <family val="2"/>
          </rPr>
          <t>USER:</t>
        </r>
        <r>
          <rPr>
            <sz val="9"/>
            <color indexed="81"/>
            <rFont val="Tahoma"/>
            <family val="2"/>
          </rPr>
          <t xml:space="preserve">
ACV = RCV - Depreciation
RCV = Cost - Land</t>
        </r>
      </text>
    </comment>
    <comment ref="B43" authorId="0" shapeId="0" xr:uid="{00000000-0006-0000-0100-000003000000}">
      <text>
        <r>
          <rPr>
            <b/>
            <sz val="9"/>
            <color indexed="81"/>
            <rFont val="Tahoma"/>
            <family val="2"/>
          </rPr>
          <t>USER:</t>
        </r>
        <r>
          <rPr>
            <sz val="9"/>
            <color indexed="81"/>
            <rFont val="Tahoma"/>
            <family val="2"/>
          </rPr>
          <t xml:space="preserve">
The maximum amount of insurance available under the NFIP, which is the lesser of:
o The maximum limit available for the type of structures or
o The “insurable value” of the structures.</t>
        </r>
      </text>
    </comment>
    <comment ref="C64" authorId="1" shapeId="0" xr:uid="{D5AFA012-2A2E-4E88-91F7-F9DF15898CF5}">
      <text>
        <r>
          <rPr>
            <sz val="9"/>
            <color indexed="81"/>
            <rFont val="Tahoma"/>
            <family val="2"/>
          </rPr>
          <t xml:space="preserve">Enter the current loan/LOC amount in process at Ameris Bank. 
</t>
        </r>
      </text>
    </comment>
    <comment ref="C66" authorId="1" shapeId="0" xr:uid="{1A3789BC-5BA8-428B-AFDC-DE547C90C9AD}">
      <text>
        <r>
          <rPr>
            <b/>
            <sz val="9"/>
            <color indexed="81"/>
            <rFont val="Tahoma"/>
            <family val="2"/>
          </rPr>
          <t xml:space="preserve">Enter the amount of any superior lien positions.  
DO NOT COMBINE with the current loan in process amount. 
</t>
        </r>
      </text>
    </comment>
    <comment ref="D66" authorId="1" shapeId="0" xr:uid="{26A7E955-E21E-4BE3-BDB4-0AA385F08BDF}">
      <text>
        <r>
          <rPr>
            <sz val="9"/>
            <color indexed="81"/>
            <rFont val="Tahoma"/>
            <family val="2"/>
          </rPr>
          <t xml:space="preserve">Enter the amount of any superior lien positions.  
DO NOT COMBINE with the current loan in process amount.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Tabari-Dunn, Neda</author>
  </authors>
  <commentList>
    <comment ref="B15" authorId="0" shapeId="0" xr:uid="{00000000-0006-0000-0200-000001000000}">
      <text>
        <r>
          <rPr>
            <b/>
            <sz val="9"/>
            <color indexed="81"/>
            <rFont val="Tahoma"/>
            <family val="2"/>
          </rPr>
          <t>USER:</t>
        </r>
        <r>
          <rPr>
            <sz val="9"/>
            <color indexed="81"/>
            <rFont val="Tahoma"/>
            <family val="2"/>
          </rPr>
          <t xml:space="preserve">
Flood hazard areas identified on the Flood Insurance Rate Map are identified as a Special Flood Hazard Area (SFHA). SFHA are defined as the area that will be inundated by the flood event having a 1-percent chance of being equaled or exceeded in any given year. The 1-percent annual chance flood is also referred to as the base flood or 100-year flood. SFHAs are labeled as Zone A, Zone AO, Zone AH, Zones A1-A30, Zone AE, Zone A99, Zone AR, Zone AR/AE, Zone AR/AO, Zone AR/A1-A30, Zone AR/A, Zone V, Zone VE, and Zones V1-V30. Moderate flood hazard areas, labeled Zone B or Zone X (shaded) are also shown on the FIRM, and are the areas between the limits of the base flood and the 0.2-percent-annual-chance (or 500-year) flood. The areas of minimal flood hazard, which are the areas outside the SFHA and higher than the elevation of the 0.2-percent-annual-chance flood, are labeled Zone C or Zone X.</t>
        </r>
      </text>
    </comment>
    <comment ref="B22" authorId="0" shapeId="0" xr:uid="{00000000-0006-0000-0200-000002000000}">
      <text>
        <r>
          <rPr>
            <b/>
            <sz val="9"/>
            <color indexed="81"/>
            <rFont val="Tahoma"/>
            <family val="2"/>
          </rPr>
          <t>USER:</t>
        </r>
        <r>
          <rPr>
            <sz val="9"/>
            <color indexed="81"/>
            <rFont val="Tahoma"/>
            <family val="2"/>
          </rPr>
          <t xml:space="preserve">
The “insurable value” is the $ amount allocated to the residential condominium unit, which is the replacement
cost value of the condominium building divided by the number of units.</t>
        </r>
      </text>
    </comment>
    <comment ref="B23" authorId="0" shapeId="0" xr:uid="{00000000-0006-0000-0200-000003000000}">
      <text>
        <r>
          <rPr>
            <b/>
            <sz val="9"/>
            <color indexed="81"/>
            <rFont val="Tahoma"/>
            <family val="2"/>
          </rPr>
          <t>USER:</t>
        </r>
        <r>
          <rPr>
            <sz val="9"/>
            <color indexed="81"/>
            <rFont val="Tahoma"/>
            <family val="2"/>
          </rPr>
          <t xml:space="preserve">
Maximum amount of coverage available under the NFIP, which is the lesser of:
o Maximum limit available for the residential condominium unit is $250,000 and $500,000 for non residential condo; or
o Insurable value of the unit based on 100 percent of the building’s replacement cost value (example: $10 million ÷ 50 = $200,000).</t>
        </r>
      </text>
    </comment>
    <comment ref="C45" authorId="1" shapeId="0" xr:uid="{979A8BF8-6384-4A6C-BEAC-705B7891E8C5}">
      <text>
        <r>
          <rPr>
            <sz val="9"/>
            <color indexed="81"/>
            <rFont val="Tahoma"/>
            <family val="2"/>
          </rPr>
          <t xml:space="preserve">Enter the current loan/LOC amount in process at Ameris Bank. 
</t>
        </r>
      </text>
    </comment>
    <comment ref="C47" authorId="1" shapeId="0" xr:uid="{187DB9AB-3B92-4905-B7E2-321F0D6880A6}">
      <text>
        <r>
          <rPr>
            <b/>
            <sz val="9"/>
            <color indexed="81"/>
            <rFont val="Tahoma"/>
            <family val="2"/>
          </rPr>
          <t xml:space="preserve">Enter the amount of any superior lien positions.  
DO NOT COMBINE with the current loan in process amount. 
</t>
        </r>
      </text>
    </comment>
    <comment ref="D47" authorId="1" shapeId="0" xr:uid="{446F43AE-7BBE-475D-B21C-E8BC50C868C0}">
      <text>
        <r>
          <rPr>
            <sz val="9"/>
            <color indexed="81"/>
            <rFont val="Tahoma"/>
            <family val="2"/>
          </rPr>
          <t xml:space="preserve">Enter the amount of any superior lien positions.  
DO NOT COMBINE with the current loan in process amount. </t>
        </r>
      </text>
    </comment>
  </commentList>
</comments>
</file>

<file path=xl/sharedStrings.xml><?xml version="1.0" encoding="utf-8"?>
<sst xmlns="http://schemas.openxmlformats.org/spreadsheetml/2006/main" count="350" uniqueCount="233">
  <si>
    <t>STEP 1:  Document the Details of the Transaction</t>
  </si>
  <si>
    <t>TRANSACTION DETAILS</t>
  </si>
  <si>
    <t>Application or Account Number</t>
  </si>
  <si>
    <t>Applicant or Borrower Name(s)</t>
  </si>
  <si>
    <t>Note Date</t>
  </si>
  <si>
    <t>Structure Details</t>
  </si>
  <si>
    <t>Building 1</t>
  </si>
  <si>
    <t>Building 2</t>
  </si>
  <si>
    <t>Building 3</t>
  </si>
  <si>
    <t>Building 4</t>
  </si>
  <si>
    <t>Building 5</t>
  </si>
  <si>
    <t>Collateral Address</t>
  </si>
  <si>
    <t>Property Designation</t>
  </si>
  <si>
    <t>Primary Purpose of Property</t>
  </si>
  <si>
    <t>Flood Determination Date</t>
  </si>
  <si>
    <t>Flood Zone</t>
  </si>
  <si>
    <t>NFIP Participating Community Number</t>
  </si>
  <si>
    <t>Coastal Barrier Resource Area</t>
  </si>
  <si>
    <t>STEP 2:  Enter Calculation Figures for the Structures</t>
  </si>
  <si>
    <t>CALCULATION FIGURES | STRUCTURES</t>
  </si>
  <si>
    <t>Maximum available under NFIP</t>
  </si>
  <si>
    <t>Insurable Value</t>
  </si>
  <si>
    <t>Did Bank take a security interest in contents?</t>
  </si>
  <si>
    <t>No</t>
  </si>
  <si>
    <t>STEP 3:  Enter Calculation Figures for Contents</t>
  </si>
  <si>
    <t>Contents       Bldg 1</t>
  </si>
  <si>
    <t>Contents       Bldg 2</t>
  </si>
  <si>
    <t>Contents       Bldg 3</t>
  </si>
  <si>
    <t>Contents       Bldg 4</t>
  </si>
  <si>
    <t>Contents       Bldg 5</t>
  </si>
  <si>
    <t>CALCULATION FIGURES | CONTENTS</t>
  </si>
  <si>
    <t>Description of Contents taken as Collateral</t>
  </si>
  <si>
    <t>Buildings</t>
  </si>
  <si>
    <t>Contents</t>
  </si>
  <si>
    <t>Loan Amount</t>
  </si>
  <si>
    <t>Aggregate Coverage Maximum</t>
  </si>
  <si>
    <t>Required Coverage</t>
  </si>
  <si>
    <t>Aggregate Policy Coverage in Force</t>
  </si>
  <si>
    <t>Shortfall</t>
  </si>
  <si>
    <t>Commercial</t>
  </si>
  <si>
    <t>Detached Structure Purpose Fields</t>
  </si>
  <si>
    <t>Residential</t>
  </si>
  <si>
    <t>Property Designation Fields</t>
  </si>
  <si>
    <t>Single Family, $250,000</t>
  </si>
  <si>
    <t>2-4 Family, $250,000</t>
  </si>
  <si>
    <t>Other Residential, $500,000</t>
  </si>
  <si>
    <t>Non-Residential | CRE, $500,000</t>
  </si>
  <si>
    <t>Yes</t>
  </si>
  <si>
    <t>Building 6</t>
  </si>
  <si>
    <t>Building 7</t>
  </si>
  <si>
    <t>Building 8</t>
  </si>
  <si>
    <t>Building 9</t>
  </si>
  <si>
    <t>Building 10</t>
  </si>
  <si>
    <t>Contents       Bldg 6</t>
  </si>
  <si>
    <t>Contents       Bldg 7</t>
  </si>
  <si>
    <t>Contents       Bldg 8</t>
  </si>
  <si>
    <t>Contents       Bldg 9</t>
  </si>
  <si>
    <t>Contents       Bldg 10</t>
  </si>
  <si>
    <t>Other</t>
  </si>
  <si>
    <t>COVERAGE RECONCILIATION - TOTAL FOR ALL BUILDINGS</t>
  </si>
  <si>
    <t>Required Minimum Insurance Amount</t>
  </si>
  <si>
    <t xml:space="preserve">Required Minimum Contents Coverage </t>
  </si>
  <si>
    <t>Unit 1</t>
  </si>
  <si>
    <t>Unit 2</t>
  </si>
  <si>
    <t>Unit 3</t>
  </si>
  <si>
    <t>Unit 4</t>
  </si>
  <si>
    <t>Unit 5</t>
  </si>
  <si>
    <t>Unit 6</t>
  </si>
  <si>
    <t>Unit 7</t>
  </si>
  <si>
    <t>Unit 8</t>
  </si>
  <si>
    <t>Unit 9</t>
  </si>
  <si>
    <t>Unit 10</t>
  </si>
  <si>
    <t># of Units</t>
  </si>
  <si>
    <t>Insurance Coverage Expiration Date</t>
  </si>
  <si>
    <t>Outstanding Principal Balance Amount (All Liens)</t>
  </si>
  <si>
    <t>COVERAGE RECONCILIATION - TOTAL FOR ALL UNITS</t>
  </si>
  <si>
    <t>If Residential - Owner Occupied / Vacant / Tenant</t>
  </si>
  <si>
    <t>Agent Provided Insurable Value</t>
  </si>
  <si>
    <t>Tax Record Improvement Value</t>
  </si>
  <si>
    <t>Escalate to Compliance Officer for Special Handling</t>
  </si>
  <si>
    <t>Appraisal - Cost less Land Value</t>
  </si>
  <si>
    <t>Hazard Policy - Replacement Cost Value</t>
  </si>
  <si>
    <t xml:space="preserve">ACV </t>
  </si>
  <si>
    <t>STEP 3:  Identify maximum amount of insurance available under the NFIP</t>
  </si>
  <si>
    <t>STEP 5:  Enter Loan amount information</t>
  </si>
  <si>
    <t>STEP 4:  Enter Calculation Figures for Contents</t>
  </si>
  <si>
    <t>Conclusion</t>
  </si>
  <si>
    <t>Amount of Insurance Adequate?</t>
  </si>
  <si>
    <t>Maximum amount of coverage available for the type of structure</t>
  </si>
  <si>
    <t>Part A: Insurable Value Calculation - Residential</t>
  </si>
  <si>
    <t>Part B: Insurable Value Calculation - Commercial</t>
  </si>
  <si>
    <t xml:space="preserve">STEP 2:  Enter Insurable Value Calculation Figures for the Structures  </t>
  </si>
  <si>
    <t>Contents
Unit 1</t>
  </si>
  <si>
    <t>Contents
Unit 2</t>
  </si>
  <si>
    <t>Contents
Unit 3</t>
  </si>
  <si>
    <t>Contents
Unit 4</t>
  </si>
  <si>
    <t>Contents
Unit 5</t>
  </si>
  <si>
    <t>Contents
Unit 6</t>
  </si>
  <si>
    <t>Contents
Unit 7</t>
  </si>
  <si>
    <t>Contents
Unit 8</t>
  </si>
  <si>
    <t>Contents
Unit 9</t>
  </si>
  <si>
    <t>Contents
Unit 10</t>
  </si>
  <si>
    <t>Amount of Insurance Adequate</t>
  </si>
  <si>
    <t>HUB Location:</t>
  </si>
  <si>
    <t>Prepared By:</t>
  </si>
  <si>
    <t>Prepared Date:</t>
  </si>
  <si>
    <t>CALCULATING FLOOD INSURANCE COVERAGE FOR MULTIPLE STRUCTURES
Residential / Commercial / Contents</t>
  </si>
  <si>
    <t>Internal Information</t>
  </si>
  <si>
    <t>STEP 4: COVERAGE RECONCILIATION - BY Unit</t>
  </si>
  <si>
    <t>Ameris Flood Insurance Calculator</t>
  </si>
  <si>
    <t>Tool Name</t>
  </si>
  <si>
    <t>Objective</t>
  </si>
  <si>
    <t xml:space="preserve">The calculation of the minimum amount of flood insurance required for the term of the loan on buildings, mobile homes, or content when an institution makes, increases, extends or renews a designated loan, meaning all three of the following factors are present:
• The loan (commercial or consumer) is secured by improved real estate or a mobile home that is affixed to a permanent foundation (security property);
• The property securing the loan is located or will be located in an SFHA as identified by FEMA; and
• The community in which the property is located participates in the NFIP. </t>
  </si>
  <si>
    <t>High Level Overview</t>
  </si>
  <si>
    <t>Instructions - Res &amp; Com Calculator</t>
  </si>
  <si>
    <t>The user must input information related to the insurable value waterfall (See "Waterfall" tab for details). This information is used in Step 3 and Step 5.</t>
  </si>
  <si>
    <t>For the question "Did Bank take a security interest in contents?", select yes or no from the drop down box. "Yes" must be selected for the calculator to identify the required coverage amount of contents.</t>
  </si>
  <si>
    <t>Instructions - Condo Calculator</t>
  </si>
  <si>
    <t>Only complete Step 3 if the Bank has taken a security interest in contents</t>
  </si>
  <si>
    <t>Maximum limit of coverage available under the
NFIP</t>
  </si>
  <si>
    <t>The user must input the following structure details:
• Collateral Address**
• Property Designation** (Drop Down Box) – Residential, Commercial, or Other
• If Residential - Owner Occupied / Vacant / Tenant** (Drop Down Box)
• Primary Purpose of Property
• Flood Determination Date – xx/xx/xx
• Flood Zone
** Information is used by formulas included in the calculator. These cells must be populated for each building.</t>
  </si>
  <si>
    <t xml:space="preserve">Required Minimum Coverage </t>
  </si>
  <si>
    <t>Total RCV indicated on the Residential Condominium Building Association Policy</t>
  </si>
  <si>
    <t>Appraisal - Total Estimate of Cost-New Value OOSFR  OR</t>
  </si>
  <si>
    <t>Appraisal - Indicated Value By Cost Approach (RENTAL) MINUS</t>
  </si>
  <si>
    <t>Appraisal - Opinion of Site Value (THE LAND)</t>
  </si>
  <si>
    <t>Appraisal – Cost Approach Value (ACV) or Insurable Value</t>
  </si>
  <si>
    <t>Building Type:</t>
  </si>
  <si>
    <t>Collateral Address:</t>
  </si>
  <si>
    <t>Yes / No</t>
  </si>
  <si>
    <t>(A) Deductibles are no higher than the NFIP maximums.</t>
  </si>
  <si>
    <t>Building Coverage Deductible:</t>
  </si>
  <si>
    <t>Content Coverage Deductible:</t>
  </si>
  <si>
    <t>(B) definition of "flood" includes events defined as "flood" under a NFIP policy.</t>
  </si>
  <si>
    <t>Requires insurer to give written notice 45 days before cancellation or non-renewal of flood insurance coverage to BOTH the insured and the bank, or a servicer acting on the bank's behalf.</t>
  </si>
  <si>
    <t>Includes information about the availability of flood insurance coverage under the NFIP.</t>
  </si>
  <si>
    <r>
      <t xml:space="preserve">Includes a mortgage interest clause similar to that provided under the NFIP, which covers both the borrower and the bank.                                        </t>
    </r>
    <r>
      <rPr>
        <b/>
        <i/>
        <sz val="12"/>
        <rFont val="Calibri"/>
        <family val="2"/>
        <scheme val="minor"/>
      </rPr>
      <t>(except for residential condominium policies obtained by a HOA)</t>
    </r>
  </si>
  <si>
    <t>Includes a provision requiring the insured to file suit not later than one year after the date of written denial for all or part of a claim under a policy.</t>
  </si>
  <si>
    <t>Contains cancellation provisions as restrictive as those under the NFIP.</t>
  </si>
  <si>
    <t>Completed By:</t>
  </si>
  <si>
    <t>Date:</t>
  </si>
  <si>
    <t>TYPE OF POLICY OBTAINED:</t>
  </si>
  <si>
    <t>Note Date:</t>
  </si>
  <si>
    <t>TOTAL</t>
  </si>
  <si>
    <t xml:space="preserve">(C) Contains coverage specified in an SFIP, including that relating to building property coverage, personal property coverage if purchased, other coverages, and increased cost of compliance coverage. </t>
  </si>
  <si>
    <r>
      <t xml:space="preserve">Private policy is issued by an insurance company licensed, admitted or otherwise approved to engage in the business of insurance in the State of jurisdiction in which the property to be insured is located, by the insurance regulatory of the State or jurisdiction,  </t>
    </r>
    <r>
      <rPr>
        <b/>
        <sz val="11"/>
        <color rgb="FFFF0000"/>
        <rFont val="Calibri"/>
        <family val="2"/>
        <scheme val="minor"/>
      </rPr>
      <t>OR</t>
    </r>
    <r>
      <rPr>
        <b/>
        <sz val="11"/>
        <color theme="1"/>
        <rFont val="Calibri"/>
        <family val="2"/>
        <scheme val="minor"/>
      </rPr>
      <t xml:space="preserve">                                                                                                                    </t>
    </r>
    <r>
      <rPr>
        <b/>
        <u/>
        <sz val="11"/>
        <color theme="1"/>
        <rFont val="Calibri"/>
        <family val="2"/>
        <scheme val="minor"/>
      </rPr>
      <t xml:space="preserve">    </t>
    </r>
    <r>
      <rPr>
        <b/>
        <sz val="11"/>
        <color theme="1"/>
        <rFont val="Calibri"/>
        <family val="2"/>
        <scheme val="minor"/>
      </rPr>
      <t xml:space="preserve">                                  is recognized, or not disapproved, as a surplus lines insurer by the State insurance regulator of the State or jurisdiction where the property to be insured is located in the case of a policy of difference in conditions, multiple peril, all risk, or other blanket coverage insuring non-residential commercial property,</t>
    </r>
  </si>
  <si>
    <t>(D) Provides coverage for direct physical loss caused by a flood and only excludes other losses that are also excluded in a SFIP.</t>
  </si>
  <si>
    <t>If content coverage required, enter:</t>
  </si>
  <si>
    <t xml:space="preserve">(E) Does not contain conditions that narrow the coverage that would be provided in a SFIP.   </t>
  </si>
  <si>
    <t>FEMA - Flood Insurance Manual:</t>
  </si>
  <si>
    <t xml:space="preserve">See the Private Flood Information tab for links to the state insurance regulator websites in order to verify this criteria. </t>
  </si>
  <si>
    <t>Insurance Regulator's Office - By State:</t>
  </si>
  <si>
    <t>Georgia:</t>
  </si>
  <si>
    <t>Florida:</t>
  </si>
  <si>
    <t>https://www.oci.ga.gov/Insurers/CompanySearch.aspx</t>
  </si>
  <si>
    <t>https://www.floir.com/CompanySearch/</t>
  </si>
  <si>
    <t>https://www.fema.gov/flood-insurance-manual.</t>
  </si>
  <si>
    <t xml:space="preserve">See the Private Flood Information tab for link to the FEMA Flood Insurance Manual, and guide on which Policy Form to use for comparison. </t>
  </si>
  <si>
    <t>Insurance Coverage Effective/Endorsement Date</t>
  </si>
  <si>
    <t>Coverage In Force Per Unit:</t>
  </si>
  <si>
    <t>Units</t>
  </si>
  <si>
    <t>https://www.naic.org/cis_refined_results.htm?INSURANCE_TYPE=(All)&amp;COCODE=10750&amp;REALM=PROD</t>
  </si>
  <si>
    <t>National Association of Insurance Commissioners:</t>
  </si>
  <si>
    <t>https://sbs.naic.org/solar-external-lookup/</t>
  </si>
  <si>
    <t>Alabama &amp; South Carolina:</t>
  </si>
  <si>
    <t>SFIP Like Policies to use for comparison:</t>
  </si>
  <si>
    <t>Commercial/Other Residential building:  General Property Form</t>
  </si>
  <si>
    <t>Residential building:  Dwelling Form</t>
  </si>
  <si>
    <t>Residential Condominum Building:  RCBAP Form</t>
  </si>
  <si>
    <t>CALCULATING FLOOD INSURANCE COVERAGE FOR MULTIPLE CONDOMINIUM UNITS
Under RCBAP Policies</t>
  </si>
  <si>
    <r>
      <rPr>
        <b/>
        <i/>
        <sz val="10"/>
        <color theme="1"/>
        <rFont val="Garamond"/>
        <family val="1"/>
      </rPr>
      <t>There are two tabs included in this calculator:</t>
    </r>
    <r>
      <rPr>
        <sz val="10"/>
        <color theme="1"/>
        <rFont val="Garamond"/>
        <family val="1"/>
      </rPr>
      <t xml:space="preserve">
1. Res &amp; Com Calculator - Used to calculate the minimum amount of flood insurance required for pieces of collateral that are designated as Residential or Commercial. A section for contents is also included, because if we take contents of a commercial building in which we also have the building as collateral, we must get flood insurance for the contents too. 
2. Condo Calculator - Used to calculate the minimum amount of flood insurance required for units located in a Condominium Building with RCBAP policies. A section for contents is also included, if applicable.</t>
    </r>
  </si>
  <si>
    <t>Please note that this workbook is protected. The user may only select/input/delete information into cells that are NOT colored. Any cells that are colored grey or blue contain formulas and cannot be selected or altered because they are locked down. If any errors in the calculator are identified, please contact ^Compliance Questions.</t>
  </si>
  <si>
    <t>STEP 3:  Identify maximum amount of insurance available under the NFIP OR Private Flood Ins. Policy</t>
  </si>
  <si>
    <r>
      <t xml:space="preserve">PART B: Only complete if the collateral is designated as Commercial.
   • For each building, if an appraisal is included in the file, input the following information:
     o Appraisal - Cost Approach Value (ACV) or Insurable Value
     o Hazard Policy - Replacement Cost Value
     o Agent Provided Insurable Value
     o Tax Record Improvement Value
   • If any of the insurable value waterfall values cannot be obtained, </t>
    </r>
    <r>
      <rPr>
        <b/>
        <sz val="10"/>
        <color theme="1"/>
        <rFont val="Calibri"/>
        <family val="2"/>
        <scheme val="minor"/>
      </rPr>
      <t xml:space="preserve">the user must leave the cell blank.
 • </t>
    </r>
    <r>
      <rPr>
        <b/>
        <sz val="10"/>
        <color rgb="FFFF0000"/>
        <rFont val="Calibri"/>
        <family val="2"/>
        <scheme val="minor"/>
      </rPr>
      <t>Only enter insurable value information for the source used. Example - If the user used the Appraisal - Total Estimate of Cost-New Value - Depreciation = ACV for commercial  property, then no other insurable value sources should be completed. An error will occur if multiple
    insurable value sources are input.</t>
    </r>
    <r>
      <rPr>
        <sz val="10"/>
        <color theme="1"/>
        <rFont val="Calibri"/>
        <family val="2"/>
        <scheme val="minor"/>
      </rPr>
      <t xml:space="preserve">
   • If any of the insurable value waterfall values cannot be obtained, the user will be alerted to “ESCALATE” the issue to ^Compliance Questions for special handling.</t>
    </r>
  </si>
  <si>
    <r>
      <t xml:space="preserve">PART A: Only complete if the collateral is designated as Residential. 
   • For each building, if an appraisal is included in the file, input the following information:
     o Appraisal - Total Estimate of Cost-new Value (New Value Owner Occupied Only)
     o Appraisal - Indicated Value By Cost Approach (Rental) Minus
     o Appraisal - Opinion of Site Value (the land)
     o Appraisal - Cost less Land Value – </t>
    </r>
    <r>
      <rPr>
        <b/>
        <sz val="10"/>
        <color theme="1"/>
        <rFont val="Calibri"/>
        <family val="2"/>
        <scheme val="minor"/>
      </rPr>
      <t>THIS VALUE IS AUTOMATICALLY CALCULATED</t>
    </r>
    <r>
      <rPr>
        <sz val="10"/>
        <color theme="1"/>
        <rFont val="Calibri"/>
        <family val="2"/>
        <scheme val="minor"/>
      </rPr>
      <t>.
     o Hazard Policy - Replacement Cost Value
     o Agent Provided Insurable Value
     o Tax Record Improvement Value
   • If any of the insurable value waterfall values cannot be obtained,</t>
    </r>
    <r>
      <rPr>
        <b/>
        <sz val="10"/>
        <color theme="1"/>
        <rFont val="Calibri"/>
        <family val="2"/>
        <scheme val="minor"/>
      </rPr>
      <t xml:space="preserve"> the user must leave the cell blank</t>
    </r>
    <r>
      <rPr>
        <sz val="10"/>
        <color theme="1"/>
        <rFont val="Calibri"/>
        <family val="2"/>
        <scheme val="minor"/>
      </rPr>
      <t>.
   •</t>
    </r>
    <r>
      <rPr>
        <b/>
        <sz val="10"/>
        <color rgb="FFFF0000"/>
        <rFont val="Calibri"/>
        <family val="2"/>
        <scheme val="minor"/>
      </rPr>
      <t xml:space="preserve"> Only enter insurable value information for the source used. Example - If the user used the Appraisal - Total Estimate of Cost-new     Value for an Owner Occupied residential property, then no other insurable value sources should be completed. An error will occur if multiple insurable value sources are input.</t>
    </r>
    <r>
      <rPr>
        <sz val="10"/>
        <color theme="1"/>
        <rFont val="Calibri"/>
        <family val="2"/>
        <scheme val="minor"/>
      </rPr>
      <t xml:space="preserve">
   • If any of the insurable value waterfall values cannot be obtained, the user will be alerted to “ESCALATE” the issue to ^Compliance Questions for special handling.</t>
    </r>
  </si>
  <si>
    <t>STEP 1:  The user must input the following transaction information:
   • Application or Account Number, 
   • Applicant or Borrower Name(s), 
   • Note Date
Additionally, the user must input the following Internal Information:
   • HUB Location (Drop Down Box)
   • Prepared By
   • Prepared Date
Note that the cells in Step One that are required to be filled out are highlighted in yellow. Once information is input into the cell, the highlight will be removed.</t>
  </si>
  <si>
    <t>STEP 4: Only complete if the Bank has taken a security interest in contents OF A COMMERCIAL BUILDING.</t>
  </si>
  <si>
    <r>
      <t xml:space="preserve">• For each building, the following information is automatically populated:
   o Maximum amount of coverage available under the NFIP
   o Required Minimum Contents Coverage 
• For the Contents of each building, input the following information:
   o Description of Contents taken as Collateral
   o Insurable Value
   o Coverage In Force
   o </t>
    </r>
    <r>
      <rPr>
        <sz val="10"/>
        <color rgb="FFC00000"/>
        <rFont val="Calibri"/>
        <family val="2"/>
        <scheme val="minor"/>
      </rPr>
      <t>Insurance Coverage Effective/Endorsement Date</t>
    </r>
    <r>
      <rPr>
        <sz val="10"/>
        <color theme="1"/>
        <rFont val="Calibri"/>
        <family val="2"/>
        <scheme val="minor"/>
      </rPr>
      <t xml:space="preserve">
   o Insurance Coverage Expiration Date</t>
    </r>
  </si>
  <si>
    <r>
      <t xml:space="preserve">STEP 3: • For each building, the following information is automatically populated:
   o Maximum amount of coverage available for the type of structure
   o Insurable Value
   o Required Minimum Coverage 
</t>
    </r>
    <r>
      <rPr>
        <sz val="10"/>
        <color rgb="FFC00000"/>
        <rFont val="Calibri"/>
        <family val="2"/>
        <scheme val="minor"/>
      </rPr>
      <t xml:space="preserve">NEW FIELD: TYPE OF POLICY OBTAINED (FROM DROP DOWN NFIP POLICY, PRIVATE POLICY OR MUTUAL AID SOCIETY) IF YOU CHOOSE PRIVATE OR MUTUAL SOCIETY POLICY A NEW FIELD WILL OPEN UP TITLED - </t>
    </r>
    <r>
      <rPr>
        <sz val="10"/>
        <color theme="6" tint="-0.499984740745262"/>
        <rFont val="Calibri"/>
        <family val="2"/>
        <scheme val="minor"/>
      </rPr>
      <t xml:space="preserve">COMPLETE THE PRIVATE FLOOD INS. CHECKLIST TAB.  </t>
    </r>
    <r>
      <rPr>
        <sz val="10"/>
        <color rgb="FFC00000"/>
        <rFont val="Calibri"/>
        <family val="2"/>
        <scheme val="minor"/>
      </rPr>
      <t xml:space="preserve">                                                 </t>
    </r>
    <r>
      <rPr>
        <sz val="10"/>
        <rFont val="Calibri"/>
        <family val="2"/>
        <scheme val="minor"/>
      </rPr>
      <t>For each building, input the following information:</t>
    </r>
    <r>
      <rPr>
        <sz val="10"/>
        <color theme="1"/>
        <rFont val="Calibri"/>
        <family val="2"/>
        <scheme val="minor"/>
      </rPr>
      <t xml:space="preserve">
   o Coverage In Force
   o </t>
    </r>
    <r>
      <rPr>
        <sz val="10"/>
        <color rgb="FFC00000"/>
        <rFont val="Calibri"/>
        <family val="2"/>
        <scheme val="minor"/>
      </rPr>
      <t>Insurance Coverage Effective/Endorsement Date</t>
    </r>
    <r>
      <rPr>
        <sz val="10"/>
        <color theme="1"/>
        <rFont val="Calibri"/>
        <family val="2"/>
        <scheme val="minor"/>
      </rPr>
      <t xml:space="preserve">
   o Insurance Coverage Expiration Date</t>
    </r>
  </si>
  <si>
    <t>Note:  NEW FIELDS ARE IN CRIMSON</t>
  </si>
  <si>
    <t>STEP 1: The user must input the following transaction information:
   • Application or Account Number, 
   • Applicant or Borrower Name(s), 
   • Note Date
Additionally, the user must input the following Internal Information:
   • HUB Location (Drop Down Box)
   • Prepared By
   • Prepared Date
Note that the cells in Step One that are required to be filled out are highlighted in yellow. Once information is input into the cell, the highlight will be removed.</t>
  </si>
  <si>
    <t>The user must input the following structure details:
• Collateral Address
• Total RCV indicated on the Residential Condominium Building Association Policy (RCBAP)
• # of Units**
• Property Designation** (Drop Down Box)
• Primary Purpose of Property
• Flood Determination Date – xx/xx/xx
• Flood Zone 
** Information is used by formulas included in the calculator. These cells must be populated for each building.</t>
  </si>
  <si>
    <r>
      <t xml:space="preserve">STEP 2:   For each building, the following information is automatically populated:
o Maximum amount of coverage available under the NFIP
o Insurable Value
o Required Minimum Insurance Amount
</t>
    </r>
    <r>
      <rPr>
        <sz val="11"/>
        <color rgb="FFC00000"/>
        <rFont val="Calibri"/>
        <family val="2"/>
        <scheme val="minor"/>
      </rPr>
      <t>NEW FIELD:  TYPE OF POLICY OBTAINED (FROM DROP DOWN BOX, NFIP POLICY, PRIVATE POLICY, OR MUTUAL AID SOCIETY) IF YOU CHOOSE PRIVATE OR MUTUAL AID SOCIETY POLICY A NEW FIELD WILL OPEN UP TITLED</t>
    </r>
    <r>
      <rPr>
        <sz val="11"/>
        <color theme="1"/>
        <rFont val="Calibri"/>
        <family val="2"/>
        <scheme val="minor"/>
      </rPr>
      <t xml:space="preserve"> - </t>
    </r>
    <r>
      <rPr>
        <sz val="11"/>
        <color rgb="FF00B050"/>
        <rFont val="Calibri"/>
        <family val="2"/>
        <scheme val="minor"/>
      </rPr>
      <t>COMPLETE THE PRIVATE FLOOD INS. CHECKLIST</t>
    </r>
    <r>
      <rPr>
        <sz val="11"/>
        <color theme="1"/>
        <rFont val="Calibri"/>
        <family val="2"/>
        <scheme val="minor"/>
      </rPr>
      <t xml:space="preserve"> </t>
    </r>
    <r>
      <rPr>
        <sz val="11"/>
        <color rgb="FF00B050"/>
        <rFont val="Calibri"/>
        <family val="2"/>
        <scheme val="minor"/>
      </rPr>
      <t xml:space="preserve">TAB. </t>
    </r>
    <r>
      <rPr>
        <sz val="11"/>
        <color theme="1"/>
        <rFont val="Calibri"/>
        <family val="2"/>
        <scheme val="minor"/>
      </rPr>
      <t xml:space="preserve">
• For each building, input the following information:
o Coverage In Force on RCBAP/PRIVATE POLICY
o Coverage in force per Unit                                                                                                                                                                                                 Insurance Coverage Effective/Endorsement Date
o Insurance Coverage Expiration Date
</t>
    </r>
  </si>
  <si>
    <t>PLEASE NOTE THAT THE COVERAGE RECONCILIATION FIELDS HAVE CHANGED AT THE BOTTOM OF BOTH THE RES &amp; COM CALCULATOR AND THE CONDO CALCULATOR</t>
  </si>
  <si>
    <t>The following fields will automatically fill:                                                                                                                                                                                 o Maximum available under the NFIP
   o Required Minimum Contents Coverage 
• For the Contents of each building, input the following information:
   o Description of Contents taken as Collateral
   o Insurable Value
   o Coverage In Force
   o Insurance Coverage Effective/Endorsement Date
   o Insurance Coverage Expiration Date</t>
  </si>
  <si>
    <t xml:space="preserve">WE ADDED THE TOTAL FIELD WHICH WILL AGGREGATE THE AMOUNTS INTO THIS FIELD.  This will let you know if the AMOUNT OF FLOOD INSURANCE IS ADEQUATE BY THE YES OR NO.  </t>
  </si>
  <si>
    <t>Discretionary Acceptance - Compliance Team Approval:</t>
  </si>
  <si>
    <t>Aggregate Policy Coverage in Force (per Unit)</t>
  </si>
  <si>
    <t>Building Coverage In Force on the RCBAP/Private Policy</t>
  </si>
  <si>
    <t>NFIP - MAXIMUM DEDUCTIBLE AMOUNTS:</t>
  </si>
  <si>
    <t>Building Deductible</t>
  </si>
  <si>
    <t>Residential Building</t>
  </si>
  <si>
    <t>Residential Condominium</t>
  </si>
  <si>
    <t>Commercial Building</t>
  </si>
  <si>
    <t>Other Residential Building</t>
  </si>
  <si>
    <t>Content Deductible</t>
  </si>
  <si>
    <t>(B) Whether the insurer provides adequate notice of cancellation to the borrower and lender to ensure the borrower has time to obtain replacement insurance or the lender can provide timely force placement of flood insurance, if necessary.</t>
  </si>
  <si>
    <t>(C) Whether the terms and conditions of the policy with respect to payment per occurrence or per loss and aggregate limits are adequate to protect the lender’s interest in the collateral.</t>
  </si>
  <si>
    <t>(D) Whether the policy complies with applicable State insurance laws.</t>
  </si>
  <si>
    <t>(E) Whether the private insurance company has the financial solvency, strength and ability to satisfy claims.</t>
  </si>
  <si>
    <t>Provides sufficient protection of the designated loan that is consistent with general safety and soundness principles, such as those listed below:</t>
  </si>
  <si>
    <t>Covers both the borrower and lender as loss payee (except for a policy issued to a condominium association, homeowner’s association, or other similar group as a common expense),</t>
  </si>
  <si>
    <t>LOAN OFFICER COMMENTS</t>
  </si>
  <si>
    <r>
      <t xml:space="preserve">Provides coverage in the amount and type(s) required 
</t>
    </r>
    <r>
      <rPr>
        <i/>
        <sz val="12"/>
        <color theme="1"/>
        <rFont val="Calibri"/>
        <family val="2"/>
        <scheme val="minor"/>
      </rPr>
      <t>(Building Coverage &amp; Contents Coverage, if required)</t>
    </r>
  </si>
  <si>
    <t>Private Flood Insurance Policy - ACCEPTANCE REQUIREMENTS:</t>
  </si>
  <si>
    <t xml:space="preserve">Minimum Requirements for DISCRETIONARY Acceptance: </t>
  </si>
  <si>
    <r>
      <t>The Private Flood Policy includes the following statement:
“</t>
    </r>
    <r>
      <rPr>
        <b/>
        <sz val="13"/>
        <color theme="1"/>
        <rFont val="Calibri"/>
        <family val="2"/>
        <scheme val="minor"/>
      </rPr>
      <t>This policy meets the definition of private flood insurance contained in 42 U.S.C. 4012a(b)(7) and the corresponding regulation.</t>
    </r>
    <r>
      <rPr>
        <sz val="12"/>
        <color theme="1"/>
        <rFont val="Calibri"/>
        <family val="2"/>
        <scheme val="minor"/>
      </rPr>
      <t>”</t>
    </r>
  </si>
  <si>
    <t xml:space="preserve">Minimum Requirements for MANDATORY  Acceptance: </t>
  </si>
  <si>
    <r>
      <t>Part A: Insurable Value Calculation -</t>
    </r>
    <r>
      <rPr>
        <b/>
        <sz val="12"/>
        <color rgb="FFFF0000"/>
        <rFont val="Garamond"/>
        <family val="1"/>
      </rPr>
      <t xml:space="preserve"> </t>
    </r>
    <r>
      <rPr>
        <b/>
        <sz val="14"/>
        <rFont val="Garamond"/>
        <family val="1"/>
      </rPr>
      <t>Residential</t>
    </r>
  </si>
  <si>
    <r>
      <t>Part B: Insurable Value Calculation -</t>
    </r>
    <r>
      <rPr>
        <b/>
        <sz val="14"/>
        <color theme="1"/>
        <rFont val="Garamond"/>
        <family val="1"/>
      </rPr>
      <t xml:space="preserve"> Commercial</t>
    </r>
  </si>
  <si>
    <t>Did Bank take a security interest in contents located in the building?</t>
  </si>
  <si>
    <t>Maximum Coverage Amount Available Under the NFIP</t>
  </si>
  <si>
    <t>Enter Insurable Value Amount</t>
  </si>
  <si>
    <r>
      <t>Policy provides coverage "</t>
    </r>
    <r>
      <rPr>
        <b/>
        <u/>
        <sz val="11"/>
        <rFont val="Calibri"/>
        <family val="2"/>
        <scheme val="minor"/>
      </rPr>
      <t>at least as broad as</t>
    </r>
    <r>
      <rPr>
        <b/>
        <sz val="11"/>
        <rFont val="Calibri"/>
        <family val="2"/>
        <scheme val="minor"/>
      </rPr>
      <t xml:space="preserve">" an NFIP Policy by meeting the following conditions at a minimum:  </t>
    </r>
  </si>
  <si>
    <t>Enter Current Loan In-Process Amount:</t>
  </si>
  <si>
    <t>NFIP MAXIMUM COVERAGE LIMITS:</t>
  </si>
  <si>
    <t>Building Coverage</t>
  </si>
  <si>
    <t>Contents Coverage</t>
  </si>
  <si>
    <t>$250,000 per unit</t>
  </si>
  <si>
    <t>Amount of Coverage In Force</t>
  </si>
  <si>
    <t>Superior Lien 1</t>
  </si>
  <si>
    <t>Superior Lien 2</t>
  </si>
  <si>
    <t>Superior Lien 3</t>
  </si>
  <si>
    <t>Superior Lien 4</t>
  </si>
  <si>
    <t>Superior Lien 5</t>
  </si>
  <si>
    <t>Superiod Lien Amounts (if Applicable)</t>
  </si>
  <si>
    <t>Enter the Total Principal Balance of Any Superior Liens or Cross-Collateralized Loans</t>
  </si>
  <si>
    <t>STEP 4:  Enter Loan amount information</t>
  </si>
  <si>
    <r>
      <t xml:space="preserve">STEP 5 • COVERAGE RECONCILIATION
   o </t>
    </r>
    <r>
      <rPr>
        <sz val="10"/>
        <color rgb="FFC00000"/>
        <rFont val="Calibri"/>
        <family val="2"/>
        <scheme val="minor"/>
      </rPr>
      <t>CURRENT LOAN IN PROCESS AMOUNT:   ONLY ENTER IN FIRST FIELD
   o SUPERIOR LIEN AMOUNTS: ENTER ANY SUPERIOR LIEN POSITIONS OR CROSS-COLLATERALIZED LOANS IN THE FIELDS LABLED "SUPERIOR LIEN 1 - 5"</t>
    </r>
    <r>
      <rPr>
        <sz val="10"/>
        <color theme="1"/>
        <rFont val="Calibri"/>
        <family val="2"/>
        <scheme val="minor"/>
      </rPr>
      <t xml:space="preserve">
 • For each building, the following information is automatically populated:
   o TOTAL - ALL LOANS 
   o Insurance Coverage Maximum Amount
   o </t>
    </r>
    <r>
      <rPr>
        <b/>
        <sz val="10"/>
        <color theme="1"/>
        <rFont val="Calibri"/>
        <family val="2"/>
        <scheme val="minor"/>
      </rPr>
      <t>Required Coverage</t>
    </r>
    <r>
      <rPr>
        <sz val="10"/>
        <color theme="1"/>
        <rFont val="Calibri"/>
        <family val="2"/>
        <scheme val="minor"/>
      </rPr>
      <t xml:space="preserve">
   o Policy Coverage in Force
   o </t>
    </r>
    <r>
      <rPr>
        <b/>
        <sz val="10"/>
        <color rgb="FFFF0000"/>
        <rFont val="Calibri"/>
        <family val="2"/>
        <scheme val="minor"/>
      </rPr>
      <t>Shortfall - If a shortfall occurs, the cell will be highlighted in red.</t>
    </r>
  </si>
  <si>
    <r>
      <rPr>
        <sz val="10"/>
        <color rgb="FFC00000"/>
        <rFont val="Calibri"/>
        <family val="2"/>
        <scheme val="minor"/>
      </rPr>
      <t xml:space="preserve">CURRENT LOAN IN PROCESS (ONLY ENTER ONCE)
SUPERIOR LIEN AMOUNTS - </t>
    </r>
    <r>
      <rPr>
        <sz val="10"/>
        <color theme="1"/>
        <rFont val="Calibri"/>
        <family val="2"/>
        <scheme val="minor"/>
      </rPr>
      <t xml:space="preserve"> SUPERIOR LIEN AMOUNTS: ENTER ANY SUPERIOR LIEN POSITIONS OR CROSS-COLLATERALIZED LOANS IN THE FIELDS LABLED "SUPERIOR LIEN 1 - 5"                                                                                                                                                                                                                  • For each building, the following information is automatically populated:
   o TOTAL - ALL LOANS 
   o Maximum Amount of coverage available under the NFIP
   o </t>
    </r>
    <r>
      <rPr>
        <b/>
        <sz val="10"/>
        <color theme="1"/>
        <rFont val="Calibri"/>
        <family val="2"/>
        <scheme val="minor"/>
      </rPr>
      <t>Required Coverage</t>
    </r>
    <r>
      <rPr>
        <sz val="10"/>
        <color theme="1"/>
        <rFont val="Calibri"/>
        <family val="2"/>
        <scheme val="minor"/>
      </rPr>
      <t xml:space="preserve">
   o Policy Coverage in Force
   o </t>
    </r>
    <r>
      <rPr>
        <b/>
        <sz val="10"/>
        <color rgb="FFFF0000"/>
        <rFont val="Calibri"/>
        <family val="2"/>
        <scheme val="minor"/>
      </rPr>
      <t>Shortfall - If a shortfall occurs, the cell will be highlighted in red.</t>
    </r>
  </si>
  <si>
    <r>
      <t xml:space="preserve">Private policy is issued by an insurance company licensed, admitted or otherwise approved to engage in the business of insurance in the State of jurisdiction in which the property to be insured is located, by the insurance regulatory of the State or jurisdiction,  </t>
    </r>
    <r>
      <rPr>
        <b/>
        <sz val="11"/>
        <color rgb="FFFF0000"/>
        <rFont val="Calibri"/>
        <family val="2"/>
        <scheme val="minor"/>
      </rPr>
      <t xml:space="preserve">OR 
</t>
    </r>
    <r>
      <rPr>
        <b/>
        <sz val="11"/>
        <color theme="1"/>
        <rFont val="Calibri"/>
        <family val="2"/>
        <scheme val="minor"/>
      </rPr>
      <t xml:space="preserve">is recognized, or not disapproved, as a surplus lines insurer by the State insurance regulator of the State or jurisdiction where the property to be insured is located in the case of a policy of difference in conditions, multiple peril, all risk, or other blanket coverage insuring non-residential commercial property, </t>
    </r>
    <r>
      <rPr>
        <b/>
        <sz val="11"/>
        <color rgb="FFFF0000"/>
        <rFont val="Calibri"/>
        <family val="2"/>
        <scheme val="minor"/>
      </rPr>
      <t>AND must be rated A or higher on A M Best.</t>
    </r>
  </si>
  <si>
    <t xml:space="preserve">(A) Whether the policy’s deductibles are reasonable based on the borrower’s financial condition. </t>
  </si>
  <si>
    <r>
      <t xml:space="preserve">Discretionary Acceptance  -  Lender or Market President or Regional President or RCO Approval according to </t>
    </r>
    <r>
      <rPr>
        <b/>
        <sz val="13"/>
        <color rgb="FFFF0000"/>
        <rFont val="Calibri"/>
        <family val="2"/>
        <scheme val="minor"/>
      </rPr>
      <t>depuctable approval authority</t>
    </r>
    <r>
      <rPr>
        <b/>
        <sz val="13"/>
        <color theme="1"/>
        <rFont val="Calibri"/>
        <family val="2"/>
        <scheme val="minor"/>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</si>
</sst>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5" formatCode="&quot;$&quot;#,##0_);\(&quot;$&quot;#,##0\)"/>
    <numFmt numFmtId="7" formatCode="&quot;$&quot;#,##0.00_);\(&quot;$&quot;#,##0.00\)"/>
    <numFmt numFmtId="44" formatCode="_(&quot;$&quot;* #,##0.00_);_(&quot;$&quot;* \(#,##0.00\);_(&quot;$&quot;* &quot;-&quot;??_);_(@_)"/>
    <numFmt numFmtId="164" formatCode="_(&quot;$&quot;* #,##0_);_(&quot;$&quot;* \(#,##0\);_(&quot;$&quot;* &quot;-&quot;??_);_(@_)"/>
    <numFmt numFmtId="165" formatCode="&quot;$&quot;#,##0.00"/>
    <numFmt numFmtId="166" formatCode="m/d/yy;@"/>
    <numFmt numFmtId="167" formatCode="&quot;$&quot;#,##0"/>
  </numFmts>
  <fonts count="88" x14ac:knownFonts="1">
    <font>
      <sz val="11"/>
      <color theme="1"/>
      <name val="Calibri"/>
      <family val="2"/>
      <scheme val="minor"/>
    </font>
    <font>
      <sz val="11"/>
      <color theme="1"/>
      <name val="Calibri"/>
      <family val="2"/>
      <scheme val="minor"/>
    </font>
    <font>
      <b/>
      <sz val="12"/>
      <color theme="1"/>
      <name val="Garamond"/>
      <family val="1"/>
    </font>
    <font>
      <sz val="12"/>
      <color theme="1"/>
      <name val="Garamond"/>
      <family val="1"/>
    </font>
    <font>
      <b/>
      <sz val="12"/>
      <color theme="0"/>
      <name val="Garamond"/>
      <family val="1"/>
    </font>
    <font>
      <b/>
      <sz val="12"/>
      <name val="Garamond"/>
      <family val="1"/>
    </font>
    <font>
      <sz val="12"/>
      <color theme="0"/>
      <name val="Garamond"/>
      <family val="1"/>
    </font>
    <font>
      <b/>
      <sz val="20"/>
      <color theme="0"/>
      <name val="Garamond"/>
      <family val="1"/>
    </font>
    <font>
      <b/>
      <sz val="9"/>
      <color indexed="81"/>
      <name val="Tahoma"/>
      <family val="2"/>
    </font>
    <font>
      <sz val="9"/>
      <color indexed="81"/>
      <name val="Tahoma"/>
      <family val="2"/>
    </font>
    <font>
      <sz val="10"/>
      <color theme="1"/>
      <name val="Garamond"/>
      <family val="1"/>
    </font>
    <font>
      <sz val="12"/>
      <name val="Garamond"/>
      <family val="1"/>
    </font>
    <font>
      <b/>
      <sz val="26"/>
      <color theme="1"/>
      <name val="Garamond"/>
      <family val="1"/>
    </font>
    <font>
      <b/>
      <sz val="14"/>
      <color theme="1"/>
      <name val="Garamond"/>
      <family val="1"/>
    </font>
    <font>
      <sz val="16"/>
      <color theme="1"/>
      <name val="Garamond"/>
      <family val="1"/>
    </font>
    <font>
      <b/>
      <sz val="16"/>
      <color theme="1"/>
      <name val="Garamond"/>
      <family val="1"/>
    </font>
    <font>
      <b/>
      <sz val="14"/>
      <name val="Garamond"/>
      <family val="1"/>
    </font>
    <font>
      <b/>
      <sz val="11"/>
      <color theme="1"/>
      <name val="Calibri"/>
      <family val="2"/>
      <scheme val="minor"/>
    </font>
    <font>
      <b/>
      <sz val="32"/>
      <color theme="0"/>
      <name val="Garamond"/>
      <family val="1"/>
    </font>
    <font>
      <b/>
      <sz val="11"/>
      <color theme="1"/>
      <name val="Garamond"/>
      <family val="1"/>
    </font>
    <font>
      <b/>
      <i/>
      <sz val="10"/>
      <color theme="1"/>
      <name val="Garamond"/>
      <family val="1"/>
    </font>
    <font>
      <b/>
      <sz val="10"/>
      <color theme="1"/>
      <name val="Calibri"/>
      <family val="2"/>
      <scheme val="minor"/>
    </font>
    <font>
      <sz val="10"/>
      <color theme="1"/>
      <name val="Calibri"/>
      <family val="2"/>
      <scheme val="minor"/>
    </font>
    <font>
      <b/>
      <sz val="10"/>
      <color rgb="FFFF0000"/>
      <name val="Calibri"/>
      <family val="2"/>
      <scheme val="minor"/>
    </font>
    <font>
      <sz val="11"/>
      <color theme="1"/>
      <name val="Garamond"/>
      <family val="1"/>
    </font>
    <font>
      <i/>
      <sz val="12"/>
      <color rgb="FFFF0000"/>
      <name val="Arial Narrow"/>
      <family val="2"/>
    </font>
    <font>
      <b/>
      <sz val="11"/>
      <color theme="0"/>
      <name val="Calibri"/>
      <family val="2"/>
      <scheme val="minor"/>
    </font>
    <font>
      <i/>
      <sz val="11"/>
      <color theme="1"/>
      <name val="Calibri"/>
      <family val="2"/>
      <scheme val="minor"/>
    </font>
    <font>
      <b/>
      <u/>
      <sz val="11"/>
      <color theme="1"/>
      <name val="Calibri"/>
      <family val="2"/>
      <scheme val="minor"/>
    </font>
    <font>
      <b/>
      <sz val="12"/>
      <color theme="0"/>
      <name val="Calibri"/>
      <family val="2"/>
      <scheme val="minor"/>
    </font>
    <font>
      <sz val="12"/>
      <color theme="1"/>
      <name val="Calibri"/>
      <family val="2"/>
      <scheme val="minor"/>
    </font>
    <font>
      <b/>
      <sz val="12"/>
      <color theme="1"/>
      <name val="Calibri"/>
      <family val="2"/>
      <scheme val="minor"/>
    </font>
    <font>
      <b/>
      <i/>
      <sz val="18"/>
      <color theme="1"/>
      <name val="Calibri"/>
      <family val="2"/>
      <scheme val="minor"/>
    </font>
    <font>
      <sz val="13"/>
      <color theme="1"/>
      <name val="Calibri"/>
      <family val="2"/>
      <scheme val="minor"/>
    </font>
    <font>
      <b/>
      <sz val="12"/>
      <name val="Calibri"/>
      <family val="2"/>
      <scheme val="minor"/>
    </font>
    <font>
      <b/>
      <i/>
      <sz val="12"/>
      <name val="Calibri"/>
      <family val="2"/>
      <scheme val="minor"/>
    </font>
    <font>
      <b/>
      <sz val="13"/>
      <color theme="1"/>
      <name val="Calibri"/>
      <family val="2"/>
      <scheme val="minor"/>
    </font>
    <font>
      <sz val="11"/>
      <color rgb="FFFF0000"/>
      <name val="Calibri"/>
      <family val="2"/>
      <scheme val="minor"/>
    </font>
    <font>
      <b/>
      <sz val="18"/>
      <name val="Ebrima"/>
    </font>
    <font>
      <sz val="18"/>
      <color theme="1"/>
      <name val="Ebrima"/>
    </font>
    <font>
      <sz val="14"/>
      <color theme="1"/>
      <name val="Ebrima"/>
    </font>
    <font>
      <b/>
      <u/>
      <sz val="12"/>
      <color theme="1"/>
      <name val="Garamond"/>
      <family val="1"/>
    </font>
    <font>
      <b/>
      <sz val="13"/>
      <color theme="1"/>
      <name val="Garamond"/>
      <family val="1"/>
    </font>
    <font>
      <b/>
      <sz val="11"/>
      <name val="Calibri"/>
      <family val="2"/>
      <scheme val="minor"/>
    </font>
    <font>
      <b/>
      <sz val="11"/>
      <color rgb="FFFF0000"/>
      <name val="Calibri"/>
      <family val="2"/>
      <scheme val="minor"/>
    </font>
    <font>
      <b/>
      <u/>
      <sz val="11"/>
      <name val="Calibri"/>
      <family val="2"/>
      <scheme val="minor"/>
    </font>
    <font>
      <b/>
      <u/>
      <sz val="12"/>
      <color theme="1"/>
      <name val="Calibri"/>
      <family val="2"/>
      <scheme val="minor"/>
    </font>
    <font>
      <sz val="11"/>
      <color rgb="FF0000FF"/>
      <name val="Calibri"/>
      <family val="2"/>
      <scheme val="minor"/>
    </font>
    <font>
      <u/>
      <sz val="11"/>
      <color theme="10"/>
      <name val="Calibri"/>
      <family val="2"/>
      <scheme val="minor"/>
    </font>
    <font>
      <u/>
      <sz val="12"/>
      <color theme="10"/>
      <name val="Calibri"/>
      <family val="2"/>
      <scheme val="minor"/>
    </font>
    <font>
      <sz val="14"/>
      <color theme="1"/>
      <name val="Calibri"/>
      <family val="2"/>
      <scheme val="minor"/>
    </font>
    <font>
      <sz val="16"/>
      <name val="Garamond"/>
      <family val="1"/>
    </font>
    <font>
      <b/>
      <sz val="16"/>
      <name val="Calibri"/>
      <family val="2"/>
      <scheme val="minor"/>
    </font>
    <font>
      <sz val="10"/>
      <color rgb="FFC00000"/>
      <name val="Calibri"/>
      <family val="2"/>
      <scheme val="minor"/>
    </font>
    <font>
      <sz val="10"/>
      <name val="Calibri"/>
      <family val="2"/>
      <scheme val="minor"/>
    </font>
    <font>
      <sz val="10"/>
      <color theme="6" tint="-0.499984740745262"/>
      <name val="Calibri"/>
      <family val="2"/>
      <scheme val="minor"/>
    </font>
    <font>
      <sz val="11"/>
      <color rgb="FFC00000"/>
      <name val="Calibri"/>
      <family val="2"/>
      <scheme val="minor"/>
    </font>
    <font>
      <sz val="11"/>
      <color rgb="FF00B050"/>
      <name val="Calibri"/>
      <family val="2"/>
      <scheme val="minor"/>
    </font>
    <font>
      <b/>
      <sz val="11"/>
      <color rgb="FFC00000"/>
      <name val="Calibri"/>
      <family val="2"/>
      <scheme val="minor"/>
    </font>
    <font>
      <b/>
      <sz val="11"/>
      <color theme="1"/>
      <name val="Arial"/>
      <family val="2"/>
    </font>
    <font>
      <b/>
      <u/>
      <sz val="13"/>
      <color rgb="FF000099"/>
      <name val="Calibri"/>
      <family val="2"/>
      <scheme val="minor"/>
    </font>
    <font>
      <b/>
      <u/>
      <sz val="12"/>
      <color rgb="FF000099"/>
      <name val="Calibri"/>
      <family val="2"/>
      <scheme val="minor"/>
    </font>
    <font>
      <i/>
      <sz val="12"/>
      <color theme="1"/>
      <name val="Calibri"/>
      <family val="2"/>
      <scheme val="minor"/>
    </font>
    <font>
      <b/>
      <sz val="14.5"/>
      <color rgb="FF000099"/>
      <name val="Calibri"/>
      <family val="2"/>
      <scheme val="minor"/>
    </font>
    <font>
      <b/>
      <sz val="13"/>
      <color theme="0"/>
      <name val="Calibri"/>
      <family val="2"/>
      <scheme val="minor"/>
    </font>
    <font>
      <b/>
      <sz val="16"/>
      <color theme="1"/>
      <name val="Calibri"/>
      <family val="2"/>
      <scheme val="minor"/>
    </font>
    <font>
      <b/>
      <sz val="14"/>
      <color theme="0"/>
      <name val="Calibri"/>
      <family val="2"/>
      <scheme val="minor"/>
    </font>
    <font>
      <sz val="9"/>
      <color rgb="FF0000FF"/>
      <name val="Calibri"/>
      <family val="2"/>
      <scheme val="minor"/>
    </font>
    <font>
      <sz val="11"/>
      <color rgb="FFB2B2B2"/>
      <name val="Calibri"/>
      <family val="2"/>
      <scheme val="minor"/>
    </font>
    <font>
      <b/>
      <sz val="12"/>
      <color rgb="FFFF0000"/>
      <name val="Garamond"/>
      <family val="1"/>
    </font>
    <font>
      <sz val="12"/>
      <color rgb="FFFF0000"/>
      <name val="Garamond"/>
      <family val="1"/>
    </font>
    <font>
      <b/>
      <sz val="18"/>
      <color theme="1"/>
      <name val="Garamond"/>
      <family val="1"/>
    </font>
    <font>
      <b/>
      <sz val="14"/>
      <color theme="1"/>
      <name val="Arial"/>
      <family val="2"/>
    </font>
    <font>
      <b/>
      <sz val="13"/>
      <color theme="1"/>
      <name val="Arial"/>
      <family val="2"/>
    </font>
    <font>
      <b/>
      <sz val="13"/>
      <name val="Arial"/>
      <family val="2"/>
    </font>
    <font>
      <b/>
      <sz val="13"/>
      <color rgb="FFFF0000"/>
      <name val="Arial"/>
      <family val="2"/>
    </font>
    <font>
      <b/>
      <sz val="14"/>
      <name val="Arial Black"/>
      <family val="2"/>
    </font>
    <font>
      <b/>
      <sz val="13"/>
      <name val="Garamond"/>
      <family val="1"/>
    </font>
    <font>
      <b/>
      <sz val="16"/>
      <color rgb="FF0000FF"/>
      <name val="Calibri"/>
      <family val="2"/>
    </font>
    <font>
      <b/>
      <sz val="14"/>
      <color rgb="FF0000FF"/>
      <name val="Calibri"/>
      <family val="2"/>
    </font>
    <font>
      <b/>
      <sz val="12"/>
      <color rgb="FF333399"/>
      <name val="Calibri"/>
      <family val="2"/>
    </font>
    <font>
      <b/>
      <u/>
      <sz val="12"/>
      <color rgb="FF0000CC"/>
      <name val="Calibri"/>
      <family val="2"/>
      <scheme val="minor"/>
    </font>
    <font>
      <sz val="11"/>
      <color theme="0" tint="-0.14999847407452621"/>
      <name val="Calibri"/>
      <family val="2"/>
      <scheme val="minor"/>
    </font>
    <font>
      <sz val="14"/>
      <color theme="1"/>
      <name val="Arial Black"/>
      <family val="2"/>
    </font>
    <font>
      <sz val="8"/>
      <name val="Calibri"/>
      <family val="2"/>
      <scheme val="minor"/>
    </font>
    <font>
      <sz val="13"/>
      <color rgb="FFFF0000"/>
      <name val="Garamond"/>
      <family val="1"/>
    </font>
    <font>
      <b/>
      <sz val="13"/>
      <color rgb="FFFF0000"/>
      <name val="Garamond"/>
      <family val="1"/>
    </font>
    <font>
      <b/>
      <sz val="13"/>
      <color rgb="FFFF0000"/>
      <name val="Calibri"/>
      <family val="2"/>
      <scheme val="minor"/>
    </font>
  </fonts>
  <fills count="21">
    <fill>
      <patternFill patternType="none"/>
    </fill>
    <fill>
      <patternFill patternType="gray125"/>
    </fill>
    <fill>
      <patternFill patternType="solid">
        <fgColor theme="7" tint="0.79998168889431442"/>
        <bgColor indexed="64"/>
      </patternFill>
    </fill>
    <fill>
      <patternFill patternType="solid">
        <fgColor rgb="FF0070C0"/>
        <bgColor indexed="64"/>
      </patternFill>
    </fill>
    <fill>
      <patternFill patternType="solid">
        <fgColor theme="0" tint="-0.249977111117893"/>
        <bgColor indexed="64"/>
      </patternFill>
    </fill>
    <fill>
      <patternFill patternType="solid">
        <fgColor theme="1"/>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rgb="FFFFC000"/>
        <bgColor indexed="64"/>
      </patternFill>
    </fill>
    <fill>
      <patternFill patternType="solid">
        <fgColor rgb="FFFFFFCC"/>
        <bgColor indexed="64"/>
      </patternFill>
    </fill>
    <fill>
      <patternFill patternType="solid">
        <fgColor rgb="FFFFFF99"/>
        <bgColor indexed="64"/>
      </patternFill>
    </fill>
    <fill>
      <patternFill patternType="solid">
        <fgColor rgb="FFCCFFCC"/>
        <bgColor indexed="64"/>
      </patternFill>
    </fill>
    <fill>
      <patternFill patternType="solid">
        <fgColor theme="1" tint="0.34998626667073579"/>
        <bgColor indexed="64"/>
      </patternFill>
    </fill>
    <fill>
      <patternFill patternType="solid">
        <fgColor theme="1" tint="0.249977111117893"/>
        <bgColor indexed="64"/>
      </patternFill>
    </fill>
    <fill>
      <patternFill patternType="solid">
        <fgColor theme="0"/>
        <bgColor indexed="64"/>
      </patternFill>
    </fill>
    <fill>
      <patternFill patternType="solid">
        <fgColor rgb="FFB2B2B2"/>
        <bgColor indexed="64"/>
      </patternFill>
    </fill>
    <fill>
      <patternFill patternType="solid">
        <fgColor rgb="FFDDE9F7"/>
        <bgColor indexed="64"/>
      </patternFill>
    </fill>
    <fill>
      <patternFill patternType="solid">
        <fgColor rgb="FFFFFF00"/>
        <bgColor indexed="64"/>
      </patternFill>
    </fill>
    <fill>
      <patternFill patternType="solid">
        <fgColor theme="0" tint="-4.9989318521683403E-2"/>
        <bgColor indexed="64"/>
      </patternFill>
    </fill>
  </fills>
  <borders count="6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top/>
      <bottom style="medium">
        <color indexed="64"/>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thin">
        <color indexed="64"/>
      </left>
      <right style="medium">
        <color indexed="64"/>
      </right>
      <top style="thin">
        <color indexed="64"/>
      </top>
      <bottom/>
      <diagonal/>
    </border>
    <border>
      <left style="medium">
        <color indexed="64"/>
      </left>
      <right/>
      <top style="thin">
        <color indexed="64"/>
      </top>
      <bottom/>
      <diagonal/>
    </border>
    <border>
      <left style="thin">
        <color indexed="64"/>
      </left>
      <right style="medium">
        <color indexed="64"/>
      </right>
      <top/>
      <bottom/>
      <diagonal/>
    </border>
    <border>
      <left/>
      <right/>
      <top/>
      <bottom style="medium">
        <color indexed="64"/>
      </bottom>
      <diagonal/>
    </border>
    <border>
      <left style="thin">
        <color indexed="64"/>
      </left>
      <right/>
      <top style="medium">
        <color indexed="64"/>
      </top>
      <bottom/>
      <diagonal/>
    </border>
    <border>
      <left style="medium">
        <color indexed="64"/>
      </left>
      <right style="thin">
        <color theme="0"/>
      </right>
      <top style="thin">
        <color indexed="64"/>
      </top>
      <bottom style="medium">
        <color indexed="64"/>
      </bottom>
      <diagonal/>
    </border>
    <border>
      <left style="medium">
        <color indexed="64"/>
      </left>
      <right style="thin">
        <color theme="0"/>
      </right>
      <top style="thin">
        <color indexed="64"/>
      </top>
      <bottom style="thin">
        <color indexed="64"/>
      </bottom>
      <diagonal/>
    </border>
    <border>
      <left style="medium">
        <color indexed="64"/>
      </left>
      <right style="thin">
        <color indexed="64"/>
      </right>
      <top/>
      <bottom style="medium">
        <color indexed="64"/>
      </bottom>
      <diagonal/>
    </border>
  </borders>
  <cellStyleXfs count="3">
    <xf numFmtId="0" fontId="0" fillId="0" borderId="0"/>
    <xf numFmtId="44" fontId="1" fillId="0" borderId="0" applyFont="0" applyFill="0" applyBorder="0" applyAlignment="0" applyProtection="0"/>
    <xf numFmtId="0" fontId="48" fillId="0" borderId="0" applyNumberFormat="0" applyFill="0" applyBorder="0" applyAlignment="0" applyProtection="0"/>
  </cellStyleXfs>
  <cellXfs count="447">
    <xf numFmtId="0" fontId="0" fillId="0" borderId="0" xfId="0"/>
    <xf numFmtId="0" fontId="3" fillId="0" borderId="0" xfId="0" applyFont="1"/>
    <xf numFmtId="0" fontId="3" fillId="0" borderId="14" xfId="0" applyFont="1" applyFill="1" applyBorder="1" applyAlignment="1" applyProtection="1">
      <alignment vertical="top" wrapText="1"/>
      <protection locked="0"/>
    </xf>
    <xf numFmtId="0" fontId="3" fillId="0" borderId="15" xfId="0" applyFont="1" applyFill="1" applyBorder="1" applyAlignment="1" applyProtection="1">
      <alignment vertical="top" wrapText="1"/>
      <protection locked="0"/>
    </xf>
    <xf numFmtId="0" fontId="3" fillId="0" borderId="16" xfId="0" applyFont="1" applyFill="1" applyBorder="1" applyAlignment="1" applyProtection="1">
      <alignment horizontal="left"/>
      <protection locked="0"/>
    </xf>
    <xf numFmtId="0" fontId="3" fillId="0" borderId="17" xfId="0" applyFont="1" applyFill="1" applyBorder="1" applyAlignment="1" applyProtection="1">
      <alignment horizontal="left"/>
      <protection locked="0"/>
    </xf>
    <xf numFmtId="164" fontId="3" fillId="0" borderId="0" xfId="0" applyNumberFormat="1" applyFont="1"/>
    <xf numFmtId="164" fontId="6" fillId="0" borderId="0" xfId="0" applyNumberFormat="1" applyFont="1"/>
    <xf numFmtId="0" fontId="2" fillId="0" borderId="0" xfId="0" applyFont="1"/>
    <xf numFmtId="0" fontId="3" fillId="0" borderId="16" xfId="0" applyFont="1" applyFill="1" applyBorder="1" applyAlignment="1" applyProtection="1">
      <alignment horizontal="center" vertical="center"/>
      <protection locked="0"/>
    </xf>
    <xf numFmtId="0" fontId="3" fillId="0" borderId="17" xfId="0" applyFont="1" applyFill="1" applyBorder="1" applyAlignment="1" applyProtection="1">
      <alignment horizontal="center" vertical="center"/>
      <protection locked="0"/>
    </xf>
    <xf numFmtId="14" fontId="3" fillId="0" borderId="16" xfId="0" applyNumberFormat="1" applyFont="1" applyFill="1" applyBorder="1" applyAlignment="1" applyProtection="1">
      <alignment horizontal="center" vertical="center"/>
      <protection locked="0"/>
    </xf>
    <xf numFmtId="14" fontId="3" fillId="0" borderId="17" xfId="0" applyNumberFormat="1" applyFont="1" applyFill="1" applyBorder="1" applyAlignment="1" applyProtection="1">
      <alignment horizontal="center" vertical="center"/>
      <protection locked="0"/>
    </xf>
    <xf numFmtId="0" fontId="3" fillId="0" borderId="19" xfId="0" applyFont="1" applyFill="1" applyBorder="1" applyAlignment="1" applyProtection="1">
      <alignment horizontal="center" vertical="center"/>
      <protection locked="0"/>
    </xf>
    <xf numFmtId="0" fontId="3" fillId="0" borderId="20" xfId="0" applyFont="1" applyFill="1" applyBorder="1" applyAlignment="1" applyProtection="1">
      <alignment horizontal="center" vertical="center"/>
      <protection locked="0"/>
    </xf>
    <xf numFmtId="0" fontId="3" fillId="0" borderId="25" xfId="0" applyFont="1" applyFill="1" applyBorder="1" applyAlignment="1" applyProtection="1">
      <alignment vertical="top" wrapText="1"/>
      <protection locked="0"/>
    </xf>
    <xf numFmtId="0" fontId="3" fillId="0" borderId="21" xfId="0" applyFont="1" applyFill="1" applyBorder="1" applyAlignment="1" applyProtection="1">
      <alignment vertical="top" wrapText="1"/>
      <protection locked="0"/>
    </xf>
    <xf numFmtId="0" fontId="0" fillId="0" borderId="0" xfId="0" applyBorder="1"/>
    <xf numFmtId="7" fontId="3" fillId="0" borderId="16" xfId="0" applyNumberFormat="1" applyFont="1" applyFill="1" applyBorder="1" applyAlignment="1" applyProtection="1">
      <alignment horizontal="center" vertical="center"/>
      <protection locked="0"/>
    </xf>
    <xf numFmtId="0" fontId="10" fillId="0" borderId="16" xfId="0" applyFont="1" applyFill="1" applyBorder="1" applyAlignment="1" applyProtection="1">
      <alignment horizontal="center" vertical="center"/>
      <protection locked="0"/>
    </xf>
    <xf numFmtId="165" fontId="6" fillId="5" borderId="16" xfId="0" applyNumberFormat="1" applyFont="1" applyFill="1" applyBorder="1" applyAlignment="1">
      <alignment horizontal="center" vertical="center"/>
    </xf>
    <xf numFmtId="14" fontId="5" fillId="0" borderId="16" xfId="0" applyNumberFormat="1" applyFont="1" applyFill="1" applyBorder="1" applyAlignment="1" applyProtection="1">
      <alignment horizontal="center" vertical="center"/>
      <protection locked="0"/>
    </xf>
    <xf numFmtId="14" fontId="5" fillId="0" borderId="17" xfId="0" applyNumberFormat="1" applyFont="1" applyFill="1" applyBorder="1" applyAlignment="1" applyProtection="1">
      <alignment horizontal="center" vertical="center"/>
      <protection locked="0"/>
    </xf>
    <xf numFmtId="14" fontId="5" fillId="0" borderId="19" xfId="0" applyNumberFormat="1" applyFont="1" applyFill="1" applyBorder="1" applyAlignment="1" applyProtection="1">
      <alignment horizontal="center" vertical="center"/>
      <protection locked="0"/>
    </xf>
    <xf numFmtId="14" fontId="5" fillId="0" borderId="20" xfId="0" applyNumberFormat="1" applyFont="1" applyFill="1" applyBorder="1" applyAlignment="1" applyProtection="1">
      <alignment horizontal="center" vertical="center"/>
      <protection locked="0"/>
    </xf>
    <xf numFmtId="14" fontId="11" fillId="0" borderId="19" xfId="0" applyNumberFormat="1" applyFont="1" applyFill="1" applyBorder="1" applyAlignment="1" applyProtection="1">
      <alignment horizontal="center" vertical="center"/>
      <protection locked="0"/>
    </xf>
    <xf numFmtId="14" fontId="11" fillId="0" borderId="20" xfId="0" applyNumberFormat="1" applyFont="1" applyFill="1" applyBorder="1" applyAlignment="1" applyProtection="1">
      <alignment horizontal="center" vertical="center"/>
      <protection locked="0"/>
    </xf>
    <xf numFmtId="0" fontId="4" fillId="0" borderId="0" xfId="0" applyFont="1" applyFill="1" applyBorder="1" applyAlignment="1">
      <alignment horizontal="left" vertical="center" wrapText="1"/>
    </xf>
    <xf numFmtId="0" fontId="3" fillId="0" borderId="0" xfId="0" applyFont="1" applyFill="1" applyBorder="1" applyAlignment="1">
      <alignment horizontal="center" vertical="center"/>
    </xf>
    <xf numFmtId="165" fontId="6" fillId="5" borderId="17" xfId="0" applyNumberFormat="1" applyFont="1" applyFill="1" applyBorder="1" applyAlignment="1">
      <alignment horizontal="center" vertical="center"/>
    </xf>
    <xf numFmtId="0" fontId="2" fillId="6" borderId="23" xfId="0" applyFont="1" applyFill="1" applyBorder="1" applyAlignment="1">
      <alignment horizontal="left" vertical="center"/>
    </xf>
    <xf numFmtId="0" fontId="3" fillId="6" borderId="26" xfId="0" applyFont="1" applyFill="1" applyBorder="1" applyAlignment="1">
      <alignment horizontal="left" vertical="center"/>
    </xf>
    <xf numFmtId="0" fontId="2" fillId="6" borderId="36" xfId="0" applyFont="1" applyFill="1" applyBorder="1" applyAlignment="1">
      <alignment horizontal="center"/>
    </xf>
    <xf numFmtId="0" fontId="2" fillId="6" borderId="28" xfId="0" applyFont="1" applyFill="1" applyBorder="1" applyAlignment="1">
      <alignment horizontal="center"/>
    </xf>
    <xf numFmtId="0" fontId="2" fillId="6" borderId="29" xfId="0" applyFont="1" applyFill="1" applyBorder="1" applyAlignment="1">
      <alignment horizontal="center"/>
    </xf>
    <xf numFmtId="165" fontId="3" fillId="0" borderId="16" xfId="0" applyNumberFormat="1" applyFont="1" applyFill="1" applyBorder="1" applyAlignment="1" applyProtection="1">
      <alignment horizontal="center" vertical="center" wrapText="1"/>
      <protection locked="0"/>
    </xf>
    <xf numFmtId="0" fontId="3" fillId="0" borderId="16" xfId="0" applyFont="1" applyFill="1" applyBorder="1" applyAlignment="1" applyProtection="1">
      <alignment horizontal="center" vertical="center" wrapText="1"/>
      <protection locked="0"/>
    </xf>
    <xf numFmtId="0" fontId="0" fillId="0" borderId="0" xfId="0" applyAlignment="1">
      <alignment horizontal="left" vertical="center"/>
    </xf>
    <xf numFmtId="0" fontId="2" fillId="6" borderId="22" xfId="0" applyFont="1" applyFill="1" applyBorder="1" applyAlignment="1">
      <alignment horizontal="left" vertical="center"/>
    </xf>
    <xf numFmtId="0" fontId="3" fillId="0" borderId="0" xfId="0" applyFont="1" applyAlignment="1">
      <alignment horizontal="left" vertical="center"/>
    </xf>
    <xf numFmtId="0" fontId="2" fillId="6" borderId="7" xfId="0" applyFont="1" applyFill="1" applyBorder="1" applyAlignment="1">
      <alignment horizontal="left" vertical="center"/>
    </xf>
    <xf numFmtId="0" fontId="6" fillId="5" borderId="7" xfId="0" applyFont="1" applyFill="1" applyBorder="1" applyAlignment="1">
      <alignment horizontal="left" vertical="center"/>
    </xf>
    <xf numFmtId="0" fontId="3" fillId="2" borderId="7" xfId="0" applyFont="1" applyFill="1" applyBorder="1" applyAlignment="1">
      <alignment horizontal="left" vertical="center"/>
    </xf>
    <xf numFmtId="0" fontId="3" fillId="2" borderId="18" xfId="0" applyFont="1" applyFill="1" applyBorder="1" applyAlignment="1">
      <alignment horizontal="left" vertical="center"/>
    </xf>
    <xf numFmtId="164" fontId="2" fillId="2" borderId="16" xfId="0" applyNumberFormat="1" applyFont="1" applyFill="1" applyBorder="1" applyAlignment="1" applyProtection="1">
      <alignment horizontal="center" wrapText="1"/>
      <protection locked="0"/>
    </xf>
    <xf numFmtId="7" fontId="3" fillId="0" borderId="17" xfId="0" applyNumberFormat="1" applyFont="1" applyFill="1" applyBorder="1" applyAlignment="1" applyProtection="1">
      <alignment horizontal="center" vertical="center"/>
      <protection locked="0"/>
    </xf>
    <xf numFmtId="164" fontId="2" fillId="6" borderId="16" xfId="0" applyNumberFormat="1" applyFont="1" applyFill="1" applyBorder="1" applyAlignment="1">
      <alignment horizontal="center" vertical="center" wrapText="1"/>
    </xf>
    <xf numFmtId="164" fontId="2" fillId="6" borderId="17" xfId="0" applyNumberFormat="1" applyFont="1" applyFill="1" applyBorder="1" applyAlignment="1">
      <alignment horizontal="center" vertical="center" wrapText="1"/>
    </xf>
    <xf numFmtId="0" fontId="2" fillId="6" borderId="6" xfId="0" applyFont="1" applyFill="1" applyBorder="1" applyAlignment="1">
      <alignment horizontal="left" vertical="center"/>
    </xf>
    <xf numFmtId="0" fontId="2" fillId="6" borderId="32" xfId="0" applyFont="1" applyFill="1" applyBorder="1" applyAlignment="1">
      <alignment horizontal="center"/>
    </xf>
    <xf numFmtId="0" fontId="2" fillId="6" borderId="33" xfId="0" applyFont="1" applyFill="1" applyBorder="1" applyAlignment="1">
      <alignment horizontal="center"/>
    </xf>
    <xf numFmtId="0" fontId="10" fillId="0" borderId="37" xfId="0" applyFont="1" applyFill="1" applyBorder="1" applyAlignment="1" applyProtection="1">
      <alignment horizontal="center" vertical="center"/>
      <protection locked="0"/>
    </xf>
    <xf numFmtId="14" fontId="3" fillId="0" borderId="37" xfId="0" applyNumberFormat="1" applyFont="1" applyFill="1" applyBorder="1" applyAlignment="1" applyProtection="1">
      <alignment horizontal="center" vertical="center"/>
      <protection locked="0"/>
    </xf>
    <xf numFmtId="0" fontId="3" fillId="2" borderId="38" xfId="0" applyFont="1" applyFill="1" applyBorder="1" applyAlignment="1">
      <alignment horizontal="left" vertical="center"/>
    </xf>
    <xf numFmtId="0" fontId="3" fillId="2" borderId="39" xfId="0" applyFont="1" applyFill="1" applyBorder="1" applyAlignment="1">
      <alignment horizontal="left" vertical="center"/>
    </xf>
    <xf numFmtId="165" fontId="6" fillId="5" borderId="37" xfId="0" applyNumberFormat="1" applyFont="1" applyFill="1" applyBorder="1" applyAlignment="1">
      <alignment horizontal="center" vertical="center"/>
    </xf>
    <xf numFmtId="0" fontId="6" fillId="5" borderId="39" xfId="0" applyFont="1" applyFill="1" applyBorder="1" applyAlignment="1">
      <alignment horizontal="left" vertical="center"/>
    </xf>
    <xf numFmtId="0" fontId="2" fillId="6" borderId="34" xfId="0" applyFont="1" applyFill="1" applyBorder="1" applyAlignment="1">
      <alignment horizontal="center"/>
    </xf>
    <xf numFmtId="0" fontId="2" fillId="6" borderId="12" xfId="0" applyFont="1" applyFill="1" applyBorder="1" applyAlignment="1">
      <alignment horizontal="center"/>
    </xf>
    <xf numFmtId="0" fontId="2" fillId="6" borderId="13" xfId="0" applyFont="1" applyFill="1" applyBorder="1" applyAlignment="1">
      <alignment horizontal="center"/>
    </xf>
    <xf numFmtId="0" fontId="2" fillId="6" borderId="14" xfId="0" applyFont="1" applyFill="1" applyBorder="1" applyAlignment="1">
      <alignment horizontal="center" vertical="center"/>
    </xf>
    <xf numFmtId="0" fontId="2" fillId="6" borderId="15" xfId="0" applyFont="1" applyFill="1" applyBorder="1" applyAlignment="1">
      <alignment horizontal="center" vertical="center"/>
    </xf>
    <xf numFmtId="0" fontId="5" fillId="4" borderId="39" xfId="0" applyFont="1" applyFill="1" applyBorder="1" applyAlignment="1" applyProtection="1">
      <alignment horizontal="left" vertical="center" wrapText="1"/>
    </xf>
    <xf numFmtId="7" fontId="3" fillId="4" borderId="37" xfId="0" applyNumberFormat="1" applyFont="1" applyFill="1" applyBorder="1" applyAlignment="1" applyProtection="1">
      <alignment horizontal="center" vertical="center"/>
    </xf>
    <xf numFmtId="7" fontId="3" fillId="4" borderId="16" xfId="0" applyNumberFormat="1" applyFont="1" applyFill="1" applyBorder="1" applyAlignment="1" applyProtection="1">
      <alignment horizontal="center" vertical="center"/>
    </xf>
    <xf numFmtId="7" fontId="3" fillId="4" borderId="17" xfId="0" applyNumberFormat="1" applyFont="1" applyFill="1" applyBorder="1" applyAlignment="1" applyProtection="1">
      <alignment horizontal="center" vertical="center"/>
    </xf>
    <xf numFmtId="0" fontId="5" fillId="4" borderId="41" xfId="0" applyFont="1" applyFill="1" applyBorder="1" applyAlignment="1" applyProtection="1">
      <alignment horizontal="left" vertical="center" wrapText="1"/>
    </xf>
    <xf numFmtId="0" fontId="3" fillId="4" borderId="31" xfId="0" applyFont="1" applyFill="1" applyBorder="1" applyAlignment="1" applyProtection="1">
      <alignment horizontal="center" vertical="center"/>
    </xf>
    <xf numFmtId="0" fontId="3" fillId="4" borderId="19" xfId="0" applyFont="1" applyFill="1" applyBorder="1" applyAlignment="1" applyProtection="1">
      <alignment horizontal="center" vertical="center"/>
    </xf>
    <xf numFmtId="0" fontId="3" fillId="4" borderId="20" xfId="0" applyFont="1" applyFill="1" applyBorder="1" applyAlignment="1" applyProtection="1">
      <alignment horizontal="center" vertical="center"/>
    </xf>
    <xf numFmtId="0" fontId="5" fillId="4" borderId="7" xfId="0" applyFont="1" applyFill="1" applyBorder="1" applyAlignment="1" applyProtection="1">
      <alignment horizontal="left" vertical="center" wrapText="1"/>
    </xf>
    <xf numFmtId="0" fontId="5" fillId="4" borderId="18" xfId="0" applyFont="1" applyFill="1" applyBorder="1" applyAlignment="1" applyProtection="1">
      <alignment horizontal="left" vertical="center" wrapText="1"/>
    </xf>
    <xf numFmtId="7" fontId="11" fillId="4" borderId="16" xfId="0" applyNumberFormat="1" applyFont="1" applyFill="1" applyBorder="1" applyAlignment="1" applyProtection="1">
      <alignment horizontal="center" vertical="center"/>
    </xf>
    <xf numFmtId="7" fontId="11" fillId="4" borderId="17" xfId="0" applyNumberFormat="1" applyFont="1" applyFill="1" applyBorder="1" applyAlignment="1" applyProtection="1">
      <alignment horizontal="center" vertical="center"/>
    </xf>
    <xf numFmtId="7" fontId="11" fillId="4" borderId="16" xfId="0" applyNumberFormat="1" applyFont="1" applyFill="1" applyBorder="1" applyAlignment="1" applyProtection="1">
      <alignment horizontal="center" vertical="center" wrapText="1"/>
    </xf>
    <xf numFmtId="7" fontId="11" fillId="4" borderId="17" xfId="0" applyNumberFormat="1" applyFont="1" applyFill="1" applyBorder="1" applyAlignment="1" applyProtection="1">
      <alignment horizontal="center" vertical="center" wrapText="1"/>
    </xf>
    <xf numFmtId="165" fontId="3" fillId="0" borderId="14" xfId="0" applyNumberFormat="1" applyFont="1" applyBorder="1" applyAlignment="1" applyProtection="1">
      <alignment horizontal="center" vertical="center"/>
      <protection locked="0"/>
    </xf>
    <xf numFmtId="165" fontId="3" fillId="0" borderId="37" xfId="0" applyNumberFormat="1" applyFont="1" applyBorder="1" applyAlignment="1" applyProtection="1">
      <alignment horizontal="center" vertical="center"/>
      <protection locked="0"/>
    </xf>
    <xf numFmtId="165" fontId="3" fillId="0" borderId="16" xfId="0" applyNumberFormat="1" applyFont="1" applyBorder="1" applyAlignment="1" applyProtection="1">
      <alignment horizontal="center" vertical="center"/>
      <protection locked="0"/>
    </xf>
    <xf numFmtId="165" fontId="3" fillId="0" borderId="17" xfId="0" applyNumberFormat="1" applyFont="1" applyFill="1" applyBorder="1" applyAlignment="1" applyProtection="1">
      <alignment horizontal="center" vertical="center" wrapText="1"/>
      <protection locked="0"/>
    </xf>
    <xf numFmtId="0" fontId="3" fillId="0" borderId="17" xfId="0" applyFont="1" applyFill="1" applyBorder="1" applyAlignment="1" applyProtection="1">
      <alignment horizontal="center" vertical="center" wrapText="1"/>
      <protection locked="0"/>
    </xf>
    <xf numFmtId="0" fontId="3" fillId="2" borderId="7" xfId="0" applyFont="1" applyFill="1" applyBorder="1" applyProtection="1"/>
    <xf numFmtId="0" fontId="2" fillId="6" borderId="11" xfId="0" applyFont="1" applyFill="1" applyBorder="1" applyAlignment="1" applyProtection="1">
      <alignment vertical="center"/>
    </xf>
    <xf numFmtId="0" fontId="2" fillId="6" borderId="12" xfId="0" applyFont="1" applyFill="1" applyBorder="1" applyAlignment="1" applyProtection="1">
      <alignment horizontal="center" vertical="center"/>
    </xf>
    <xf numFmtId="0" fontId="2" fillId="6" borderId="13" xfId="0" applyFont="1" applyFill="1" applyBorder="1" applyAlignment="1" applyProtection="1">
      <alignment horizontal="center" vertical="center"/>
    </xf>
    <xf numFmtId="0" fontId="3" fillId="2" borderId="6" xfId="0" applyFont="1" applyFill="1" applyBorder="1" applyProtection="1"/>
    <xf numFmtId="0" fontId="3" fillId="2" borderId="7" xfId="0" applyFont="1" applyFill="1" applyBorder="1" applyAlignment="1" applyProtection="1">
      <alignment horizontal="left" vertical="center" wrapText="1"/>
    </xf>
    <xf numFmtId="0" fontId="3" fillId="2" borderId="18" xfId="0" applyFont="1" applyFill="1" applyBorder="1" applyProtection="1"/>
    <xf numFmtId="0" fontId="2" fillId="6" borderId="7" xfId="0" applyFont="1" applyFill="1" applyBorder="1" applyAlignment="1" applyProtection="1">
      <alignment vertical="center"/>
    </xf>
    <xf numFmtId="0" fontId="2" fillId="6" borderId="16" xfId="0" applyFont="1" applyFill="1" applyBorder="1" applyAlignment="1" applyProtection="1">
      <alignment horizontal="center" vertical="center"/>
    </xf>
    <xf numFmtId="0" fontId="2" fillId="6" borderId="17" xfId="0" applyFont="1" applyFill="1" applyBorder="1" applyAlignment="1" applyProtection="1">
      <alignment horizontal="center" vertical="center"/>
    </xf>
    <xf numFmtId="0" fontId="2" fillId="4" borderId="7" xfId="0" applyFont="1" applyFill="1" applyBorder="1" applyAlignment="1" applyProtection="1">
      <alignment horizontal="left" vertical="center" wrapText="1"/>
    </xf>
    <xf numFmtId="7" fontId="2" fillId="4" borderId="16" xfId="0" applyNumberFormat="1" applyFont="1" applyFill="1" applyBorder="1" applyAlignment="1" applyProtection="1">
      <alignment horizontal="center" vertical="center"/>
    </xf>
    <xf numFmtId="7" fontId="2" fillId="4" borderId="17" xfId="0" applyNumberFormat="1" applyFont="1" applyFill="1" applyBorder="1" applyAlignment="1" applyProtection="1">
      <alignment horizontal="center" vertical="center"/>
    </xf>
    <xf numFmtId="0" fontId="2" fillId="0" borderId="7" xfId="0" applyFont="1" applyFill="1" applyBorder="1" applyProtection="1"/>
    <xf numFmtId="0" fontId="2" fillId="6" borderId="16" xfId="0" applyFont="1" applyFill="1" applyBorder="1" applyAlignment="1" applyProtection="1">
      <alignment horizontal="center" vertical="center" wrapText="1"/>
    </xf>
    <xf numFmtId="0" fontId="3" fillId="0" borderId="31" xfId="0" applyFont="1" applyFill="1" applyBorder="1" applyAlignment="1" applyProtection="1">
      <alignment horizontal="center" vertical="center"/>
      <protection locked="0"/>
    </xf>
    <xf numFmtId="0" fontId="3" fillId="2" borderId="45" xfId="0" applyFont="1" applyFill="1" applyBorder="1" applyAlignment="1">
      <alignment horizontal="left" vertical="center"/>
    </xf>
    <xf numFmtId="0" fontId="2" fillId="6" borderId="17" xfId="0" applyFont="1" applyFill="1" applyBorder="1" applyAlignment="1" applyProtection="1">
      <alignment horizontal="center" vertical="center" wrapText="1"/>
    </xf>
    <xf numFmtId="0" fontId="2" fillId="8" borderId="39" xfId="0" applyFont="1" applyFill="1" applyBorder="1" applyAlignment="1" applyProtection="1">
      <alignment horizontal="left" vertical="center"/>
    </xf>
    <xf numFmtId="0" fontId="19" fillId="0" borderId="14" xfId="0" applyFont="1" applyBorder="1" applyAlignment="1" applyProtection="1">
      <alignment horizontal="left" vertical="center"/>
    </xf>
    <xf numFmtId="0" fontId="10" fillId="0" borderId="16" xfId="0" applyFont="1" applyBorder="1" applyAlignment="1" applyProtection="1">
      <alignment horizontal="left" wrapText="1"/>
    </xf>
    <xf numFmtId="0" fontId="2" fillId="8" borderId="39" xfId="0" applyFont="1" applyFill="1" applyBorder="1" applyAlignment="1" applyProtection="1">
      <alignment horizontal="left" vertical="center" wrapText="1"/>
    </xf>
    <xf numFmtId="0" fontId="2" fillId="8" borderId="48" xfId="0" applyFont="1" applyFill="1" applyBorder="1" applyAlignment="1" applyProtection="1">
      <alignment horizontal="left" vertical="center" wrapText="1"/>
    </xf>
    <xf numFmtId="0" fontId="10" fillId="0" borderId="16" xfId="0" applyFont="1" applyBorder="1" applyAlignment="1" applyProtection="1">
      <alignment horizontal="left" vertical="center" wrapText="1"/>
    </xf>
    <xf numFmtId="0" fontId="2" fillId="7" borderId="22" xfId="0" applyFont="1" applyFill="1" applyBorder="1" applyAlignment="1" applyProtection="1">
      <alignment horizontal="left" vertical="center"/>
    </xf>
    <xf numFmtId="0" fontId="21" fillId="9" borderId="16" xfId="0" applyFont="1" applyFill="1" applyBorder="1" applyAlignment="1" applyProtection="1">
      <alignment horizontal="left" vertical="center" wrapText="1"/>
    </xf>
    <xf numFmtId="0" fontId="22" fillId="0" borderId="16" xfId="0" applyFont="1" applyBorder="1" applyAlignment="1" applyProtection="1">
      <alignment horizontal="left" vertical="center" wrapText="1"/>
    </xf>
    <xf numFmtId="0" fontId="22" fillId="0" borderId="16" xfId="0" applyFont="1" applyBorder="1" applyAlignment="1" applyProtection="1">
      <alignment horizontal="left" vertical="center"/>
    </xf>
    <xf numFmtId="0" fontId="21" fillId="0" borderId="0" xfId="0" applyFont="1" applyBorder="1" applyAlignment="1" applyProtection="1">
      <alignment horizontal="left" vertical="center" wrapText="1"/>
    </xf>
    <xf numFmtId="0" fontId="22" fillId="0" borderId="0" xfId="0" applyFont="1" applyBorder="1" applyAlignment="1" applyProtection="1">
      <alignment horizontal="left" vertical="center" wrapText="1"/>
    </xf>
    <xf numFmtId="0" fontId="0" fillId="0" borderId="16" xfId="0" applyBorder="1" applyAlignment="1" applyProtection="1">
      <alignment horizontal="left" vertical="center" wrapText="1"/>
    </xf>
    <xf numFmtId="0" fontId="17" fillId="9" borderId="16" xfId="0" applyFont="1" applyFill="1" applyBorder="1" applyAlignment="1" applyProtection="1">
      <alignment horizontal="left" vertical="center" wrapText="1"/>
    </xf>
    <xf numFmtId="0" fontId="3" fillId="0" borderId="14" xfId="0" applyFont="1" applyFill="1" applyBorder="1" applyAlignment="1" applyProtection="1">
      <alignment horizontal="center" vertical="center"/>
      <protection locked="0"/>
    </xf>
    <xf numFmtId="0" fontId="3" fillId="0" borderId="15" xfId="0" applyFont="1" applyFill="1" applyBorder="1" applyAlignment="1" applyProtection="1">
      <alignment horizontal="center" vertical="center"/>
      <protection locked="0"/>
    </xf>
    <xf numFmtId="0" fontId="2" fillId="10" borderId="7" xfId="0" applyFont="1" applyFill="1" applyBorder="1" applyAlignment="1" applyProtection="1">
      <alignment horizontal="left" vertical="center" wrapText="1"/>
    </xf>
    <xf numFmtId="7" fontId="2" fillId="10" borderId="16" xfId="0" applyNumberFormat="1" applyFont="1" applyFill="1" applyBorder="1" applyAlignment="1" applyProtection="1">
      <alignment horizontal="center" vertical="center"/>
    </xf>
    <xf numFmtId="7" fontId="2" fillId="10" borderId="17" xfId="0" applyNumberFormat="1" applyFont="1" applyFill="1" applyBorder="1" applyAlignment="1" applyProtection="1">
      <alignment horizontal="center" vertical="center"/>
    </xf>
    <xf numFmtId="0" fontId="3" fillId="10" borderId="7" xfId="0" applyFont="1" applyFill="1" applyBorder="1" applyProtection="1"/>
    <xf numFmtId="7" fontId="3" fillId="10" borderId="16" xfId="0" applyNumberFormat="1" applyFont="1" applyFill="1" applyBorder="1" applyAlignment="1" applyProtection="1">
      <alignment horizontal="center" vertical="center"/>
      <protection locked="0"/>
    </xf>
    <xf numFmtId="0" fontId="3" fillId="2" borderId="50" xfId="0" applyFont="1" applyFill="1" applyBorder="1" applyAlignment="1">
      <alignment horizontal="left" vertical="center"/>
    </xf>
    <xf numFmtId="0" fontId="3" fillId="0" borderId="30" xfId="0" applyFont="1" applyFill="1" applyBorder="1" applyAlignment="1" applyProtection="1">
      <alignment horizontal="center" vertical="center"/>
      <protection locked="0"/>
    </xf>
    <xf numFmtId="0" fontId="3" fillId="2" borderId="41" xfId="0" applyFont="1" applyFill="1" applyBorder="1" applyAlignment="1">
      <alignment horizontal="left" vertical="center"/>
    </xf>
    <xf numFmtId="0" fontId="5" fillId="10" borderId="7" xfId="0" applyFont="1" applyFill="1" applyBorder="1" applyAlignment="1" applyProtection="1">
      <alignment horizontal="left" vertical="center" wrapText="1"/>
    </xf>
    <xf numFmtId="7" fontId="3" fillId="10" borderId="16" xfId="0" applyNumberFormat="1" applyFont="1" applyFill="1" applyBorder="1" applyAlignment="1" applyProtection="1">
      <alignment horizontal="center" vertical="center"/>
    </xf>
    <xf numFmtId="7" fontId="3" fillId="10" borderId="17" xfId="0" applyNumberFormat="1" applyFont="1" applyFill="1" applyBorder="1" applyAlignment="1" applyProtection="1">
      <alignment horizontal="center" vertical="center"/>
    </xf>
    <xf numFmtId="0" fontId="3" fillId="0" borderId="40" xfId="0" applyFont="1" applyFill="1" applyBorder="1" applyAlignment="1" applyProtection="1">
      <alignment horizontal="center" vertical="top" wrapText="1"/>
      <protection locked="0"/>
    </xf>
    <xf numFmtId="0" fontId="3" fillId="0" borderId="37" xfId="0" applyFont="1" applyFill="1" applyBorder="1" applyAlignment="1" applyProtection="1">
      <alignment horizontal="center"/>
      <protection locked="0"/>
    </xf>
    <xf numFmtId="0" fontId="27" fillId="0" borderId="0" xfId="0" applyFont="1" applyAlignment="1">
      <alignment horizontal="center"/>
    </xf>
    <xf numFmtId="0" fontId="0" fillId="0" borderId="0" xfId="0" applyAlignment="1">
      <alignment vertical="center"/>
    </xf>
    <xf numFmtId="0" fontId="0" fillId="0" borderId="16" xfId="0" applyBorder="1" applyAlignment="1">
      <alignment vertical="center"/>
    </xf>
    <xf numFmtId="0" fontId="0" fillId="0" borderId="53" xfId="0" applyBorder="1" applyAlignment="1">
      <alignment horizontal="left" vertical="center" wrapText="1"/>
    </xf>
    <xf numFmtId="0" fontId="28" fillId="0" borderId="55" xfId="0" applyFont="1" applyBorder="1" applyAlignment="1">
      <alignment horizontal="left" vertical="center" wrapText="1"/>
    </xf>
    <xf numFmtId="0" fontId="28" fillId="0" borderId="51" xfId="0" applyFont="1" applyBorder="1" applyAlignment="1">
      <alignment horizontal="left" vertical="center" wrapText="1"/>
    </xf>
    <xf numFmtId="0" fontId="0" fillId="0" borderId="0" xfId="0" applyAlignment="1">
      <alignment wrapText="1"/>
    </xf>
    <xf numFmtId="0" fontId="0" fillId="0" borderId="0" xfId="0" applyAlignment="1">
      <alignment horizontal="center" wrapText="1"/>
    </xf>
    <xf numFmtId="0" fontId="17" fillId="11" borderId="16" xfId="0" applyFont="1" applyFill="1" applyBorder="1" applyAlignment="1" applyProtection="1">
      <alignment horizontal="center" vertical="center" wrapText="1"/>
      <protection locked="0"/>
    </xf>
    <xf numFmtId="0" fontId="17" fillId="11" borderId="52" xfId="0" applyFont="1" applyFill="1" applyBorder="1" applyAlignment="1" applyProtection="1">
      <alignment horizontal="center" vertical="center" wrapText="1"/>
      <protection locked="0"/>
    </xf>
    <xf numFmtId="0" fontId="17" fillId="11" borderId="16" xfId="0" applyFont="1" applyFill="1" applyBorder="1" applyAlignment="1">
      <alignment horizontal="center" vertical="center" wrapText="1"/>
    </xf>
    <xf numFmtId="165" fontId="17" fillId="12" borderId="22" xfId="0" applyNumberFormat="1" applyFont="1" applyFill="1" applyBorder="1" applyAlignment="1" applyProtection="1">
      <alignment horizontal="center" vertical="center" wrapText="1"/>
      <protection locked="0"/>
    </xf>
    <xf numFmtId="0" fontId="5" fillId="2" borderId="7" xfId="0" applyFont="1" applyFill="1" applyBorder="1" applyAlignment="1" applyProtection="1">
      <alignment horizontal="left" vertical="center" wrapText="1"/>
    </xf>
    <xf numFmtId="0" fontId="37" fillId="0" borderId="0" xfId="0" applyFont="1"/>
    <xf numFmtId="7" fontId="11" fillId="0" borderId="16" xfId="0" applyNumberFormat="1" applyFont="1" applyFill="1" applyBorder="1" applyAlignment="1" applyProtection="1">
      <alignment horizontal="center" vertical="center"/>
      <protection locked="0"/>
    </xf>
    <xf numFmtId="0" fontId="39" fillId="0" borderId="0" xfId="0" applyFont="1" applyBorder="1" applyAlignment="1">
      <alignment horizontal="center" vertical="center"/>
    </xf>
    <xf numFmtId="0" fontId="41" fillId="0" borderId="0" xfId="0" applyFont="1" applyFill="1" applyBorder="1" applyAlignment="1">
      <alignment horizontal="right" wrapText="1"/>
    </xf>
    <xf numFmtId="0" fontId="3" fillId="2" borderId="16" xfId="0" applyFont="1" applyFill="1" applyBorder="1" applyAlignment="1">
      <alignment horizontal="center" wrapText="1"/>
    </xf>
    <xf numFmtId="0" fontId="3" fillId="2" borderId="16" xfId="0" applyFont="1" applyFill="1" applyBorder="1" applyAlignment="1" applyProtection="1">
      <alignment wrapText="1"/>
      <protection locked="0"/>
    </xf>
    <xf numFmtId="0" fontId="41" fillId="2" borderId="16" xfId="0" applyFont="1" applyFill="1" applyBorder="1" applyAlignment="1">
      <alignment wrapText="1"/>
    </xf>
    <xf numFmtId="0" fontId="24" fillId="0" borderId="37" xfId="0" applyFont="1" applyFill="1" applyBorder="1" applyAlignment="1" applyProtection="1">
      <alignment horizontal="center" vertical="center"/>
      <protection locked="0"/>
    </xf>
    <xf numFmtId="0" fontId="25" fillId="0" borderId="0" xfId="0" applyFont="1" applyFill="1"/>
    <xf numFmtId="0" fontId="0" fillId="0" borderId="9" xfId="0" applyBorder="1" applyAlignment="1">
      <alignment horizontal="left" vertical="center" wrapText="1"/>
    </xf>
    <xf numFmtId="0" fontId="40" fillId="0" borderId="0" xfId="0" applyFont="1" applyFill="1" applyAlignment="1">
      <alignment vertical="center" wrapText="1"/>
    </xf>
    <xf numFmtId="0" fontId="17" fillId="0" borderId="51" xfId="0" applyFont="1" applyBorder="1" applyAlignment="1">
      <alignment horizontal="right" vertical="center"/>
    </xf>
    <xf numFmtId="0" fontId="17" fillId="0" borderId="54" xfId="0" applyFont="1" applyBorder="1" applyAlignment="1">
      <alignment horizontal="left" vertical="center"/>
    </xf>
    <xf numFmtId="0" fontId="17" fillId="0" borderId="6" xfId="0" applyFont="1" applyBorder="1" applyAlignment="1">
      <alignment vertical="center"/>
    </xf>
    <xf numFmtId="0" fontId="17" fillId="11" borderId="19" xfId="0" applyFont="1" applyFill="1" applyBorder="1" applyAlignment="1" applyProtection="1">
      <alignment horizontal="center" vertical="center" wrapText="1"/>
      <protection locked="0"/>
    </xf>
    <xf numFmtId="0" fontId="29" fillId="5" borderId="2" xfId="0" applyFont="1" applyFill="1" applyBorder="1" applyAlignment="1">
      <alignment vertical="center"/>
    </xf>
    <xf numFmtId="0" fontId="29" fillId="5" borderId="2" xfId="0" applyFont="1" applyFill="1" applyBorder="1" applyAlignment="1">
      <alignment horizontal="center" vertical="center" wrapText="1"/>
    </xf>
    <xf numFmtId="0" fontId="26" fillId="5" borderId="3" xfId="0" applyFont="1" applyFill="1" applyBorder="1" applyAlignment="1">
      <alignment horizontal="center" vertical="center" wrapText="1"/>
    </xf>
    <xf numFmtId="0" fontId="0" fillId="0" borderId="47" xfId="0" applyBorder="1" applyAlignment="1">
      <alignment vertical="center"/>
    </xf>
    <xf numFmtId="0" fontId="0" fillId="0" borderId="17" xfId="0" applyBorder="1" applyAlignment="1">
      <alignment vertical="center" wrapText="1"/>
    </xf>
    <xf numFmtId="0" fontId="43" fillId="0" borderId="7" xfId="0" applyFont="1" applyBorder="1" applyAlignment="1">
      <alignment vertical="center"/>
    </xf>
    <xf numFmtId="0" fontId="0" fillId="0" borderId="0" xfId="0" applyBorder="1" applyAlignment="1">
      <alignment vertical="center"/>
    </xf>
    <xf numFmtId="0" fontId="31" fillId="0" borderId="61" xfId="0" applyFont="1" applyBorder="1" applyAlignment="1">
      <alignment horizontal="left" vertical="center" indent="1"/>
    </xf>
    <xf numFmtId="0" fontId="17" fillId="0" borderId="0" xfId="0" applyFont="1" applyBorder="1" applyAlignment="1">
      <alignment vertical="center"/>
    </xf>
    <xf numFmtId="0" fontId="17" fillId="0" borderId="59" xfId="0" applyFont="1" applyBorder="1" applyAlignment="1">
      <alignment horizontal="left" vertical="center"/>
    </xf>
    <xf numFmtId="0" fontId="3" fillId="0" borderId="16" xfId="0" applyFont="1" applyBorder="1" applyAlignment="1" applyProtection="1">
      <alignment horizontal="center" wrapText="1"/>
    </xf>
    <xf numFmtId="14" fontId="3" fillId="0" borderId="16" xfId="0" applyNumberFormat="1" applyFont="1" applyBorder="1" applyAlignment="1" applyProtection="1">
      <alignment horizontal="center" wrapText="1"/>
    </xf>
    <xf numFmtId="0" fontId="46" fillId="0" borderId="0" xfId="0" applyFont="1"/>
    <xf numFmtId="0" fontId="30" fillId="0" borderId="0" xfId="0" applyFont="1"/>
    <xf numFmtId="0" fontId="49" fillId="0" borderId="0" xfId="2" applyFont="1"/>
    <xf numFmtId="0" fontId="17" fillId="11" borderId="17" xfId="0" applyFont="1" applyFill="1" applyBorder="1" applyAlignment="1">
      <alignment horizontal="center" vertical="center" wrapText="1"/>
    </xf>
    <xf numFmtId="7" fontId="11" fillId="0" borderId="17" xfId="0" applyNumberFormat="1" applyFont="1" applyFill="1" applyBorder="1" applyAlignment="1" applyProtection="1">
      <alignment horizontal="center" vertical="center"/>
      <protection locked="0"/>
    </xf>
    <xf numFmtId="0" fontId="44" fillId="0" borderId="0" xfId="0" applyFont="1"/>
    <xf numFmtId="164" fontId="3" fillId="0" borderId="16" xfId="0" applyNumberFormat="1" applyFont="1" applyFill="1" applyBorder="1" applyAlignment="1" applyProtection="1">
      <alignment horizontal="center" vertical="center" wrapText="1"/>
      <protection locked="0"/>
    </xf>
    <xf numFmtId="0" fontId="0" fillId="14" borderId="0" xfId="0" applyFill="1"/>
    <xf numFmtId="0" fontId="48" fillId="0" borderId="0" xfId="2" applyProtection="1">
      <protection locked="0"/>
    </xf>
    <xf numFmtId="0" fontId="49" fillId="0" borderId="0" xfId="2" applyFont="1" applyAlignment="1" applyProtection="1">
      <alignment vertical="center"/>
      <protection locked="0"/>
    </xf>
    <xf numFmtId="0" fontId="49" fillId="0" borderId="0" xfId="2" applyFont="1" applyProtection="1">
      <protection locked="0"/>
    </xf>
    <xf numFmtId="0" fontId="44" fillId="0" borderId="0" xfId="0" applyFont="1" applyAlignment="1">
      <alignment vertical="center"/>
    </xf>
    <xf numFmtId="0" fontId="42" fillId="6" borderId="22" xfId="0" applyFont="1" applyFill="1" applyBorder="1" applyAlignment="1">
      <alignment horizontal="center"/>
    </xf>
    <xf numFmtId="7" fontId="13" fillId="9" borderId="50" xfId="0" applyNumberFormat="1" applyFont="1" applyFill="1" applyBorder="1" applyAlignment="1">
      <alignment horizontal="center" vertical="center"/>
    </xf>
    <xf numFmtId="7" fontId="13" fillId="9" borderId="39" xfId="0" applyNumberFormat="1" applyFont="1" applyFill="1" applyBorder="1" applyAlignment="1">
      <alignment horizontal="center" vertical="center"/>
    </xf>
    <xf numFmtId="0" fontId="0" fillId="0" borderId="0" xfId="0" applyAlignment="1">
      <alignment horizontal="center"/>
    </xf>
    <xf numFmtId="0" fontId="3" fillId="0" borderId="14" xfId="0" applyFont="1" applyFill="1" applyBorder="1" applyAlignment="1" applyProtection="1">
      <alignment horizontal="center" vertical="top" wrapText="1"/>
      <protection locked="0"/>
    </xf>
    <xf numFmtId="0" fontId="3" fillId="0" borderId="16" xfId="0" applyFont="1" applyFill="1" applyBorder="1" applyAlignment="1" applyProtection="1">
      <alignment horizontal="center"/>
      <protection locked="0"/>
    </xf>
    <xf numFmtId="0" fontId="3" fillId="0" borderId="0" xfId="0" applyFont="1" applyAlignment="1">
      <alignment horizontal="center"/>
    </xf>
    <xf numFmtId="164" fontId="3" fillId="0" borderId="0" xfId="0" applyNumberFormat="1" applyFont="1" applyAlignment="1">
      <alignment horizontal="center"/>
    </xf>
    <xf numFmtId="0" fontId="5" fillId="6" borderId="64" xfId="0" applyFont="1" applyFill="1" applyBorder="1" applyAlignment="1" applyProtection="1">
      <alignment horizontal="center"/>
    </xf>
    <xf numFmtId="7" fontId="5" fillId="4" borderId="8" xfId="0" applyNumberFormat="1" applyFont="1" applyFill="1" applyBorder="1" applyAlignment="1" applyProtection="1">
      <alignment horizontal="center" vertical="center"/>
    </xf>
    <xf numFmtId="7" fontId="2" fillId="4" borderId="58" xfId="1" applyNumberFormat="1" applyFont="1" applyFill="1" applyBorder="1" applyAlignment="1" applyProtection="1">
      <alignment horizontal="center" vertical="center"/>
    </xf>
    <xf numFmtId="7" fontId="2" fillId="4" borderId="8" xfId="0" applyNumberFormat="1" applyFont="1" applyFill="1" applyBorder="1" applyAlignment="1" applyProtection="1">
      <alignment horizontal="center" vertical="center"/>
    </xf>
    <xf numFmtId="0" fontId="3" fillId="8" borderId="7" xfId="0" applyFont="1" applyFill="1" applyBorder="1" applyProtection="1"/>
    <xf numFmtId="7" fontId="3" fillId="8" borderId="16" xfId="0" applyNumberFormat="1" applyFont="1" applyFill="1" applyBorder="1" applyAlignment="1" applyProtection="1">
      <alignment horizontal="center" vertical="center"/>
    </xf>
    <xf numFmtId="0" fontId="30" fillId="0" borderId="0" xfId="0" applyFont="1" applyAlignment="1">
      <alignment horizontal="right"/>
    </xf>
    <xf numFmtId="0" fontId="0" fillId="0" borderId="0" xfId="0" applyAlignment="1">
      <alignment horizontal="right"/>
    </xf>
    <xf numFmtId="0" fontId="30" fillId="0" borderId="0" xfId="0" applyFont="1" applyAlignment="1"/>
    <xf numFmtId="0" fontId="30" fillId="0" borderId="0" xfId="0" applyFont="1" applyProtection="1">
      <protection locked="0"/>
    </xf>
    <xf numFmtId="0" fontId="2" fillId="0" borderId="0" xfId="0" applyFont="1" applyFill="1" applyBorder="1" applyAlignment="1" applyProtection="1">
      <alignment horizontal="left" vertical="center" wrapText="1"/>
    </xf>
    <xf numFmtId="7" fontId="2" fillId="0" borderId="0" xfId="0" applyNumberFormat="1" applyFont="1" applyFill="1" applyBorder="1" applyAlignment="1" applyProtection="1">
      <alignment horizontal="center" vertical="center"/>
    </xf>
    <xf numFmtId="0" fontId="0" fillId="0" borderId="0" xfId="0" applyFill="1"/>
    <xf numFmtId="0" fontId="58" fillId="0" borderId="0" xfId="0" applyFont="1" applyAlignment="1">
      <alignment wrapText="1"/>
    </xf>
    <xf numFmtId="0" fontId="56" fillId="0" borderId="0" xfId="0" applyFont="1" applyAlignment="1">
      <alignment wrapText="1"/>
    </xf>
    <xf numFmtId="0" fontId="2" fillId="6" borderId="11" xfId="0" applyFont="1" applyFill="1" applyBorder="1" applyAlignment="1">
      <alignment horizontal="left" vertical="center"/>
    </xf>
    <xf numFmtId="0" fontId="46" fillId="0" borderId="0" xfId="0" applyFont="1" applyAlignment="1">
      <alignment horizontal="center"/>
    </xf>
    <xf numFmtId="0" fontId="11" fillId="2" borderId="7" xfId="0" applyFont="1" applyFill="1" applyBorder="1" applyProtection="1"/>
    <xf numFmtId="7" fontId="44" fillId="0" borderId="0" xfId="0" applyNumberFormat="1" applyFont="1"/>
    <xf numFmtId="164" fontId="3" fillId="0" borderId="17" xfId="0" applyNumberFormat="1" applyFont="1" applyFill="1" applyBorder="1" applyAlignment="1" applyProtection="1">
      <alignment horizontal="center" vertical="center" wrapText="1"/>
      <protection locked="0"/>
    </xf>
    <xf numFmtId="7" fontId="3" fillId="10" borderId="17" xfId="0" applyNumberFormat="1" applyFont="1" applyFill="1" applyBorder="1" applyAlignment="1" applyProtection="1">
      <alignment horizontal="center" vertical="center"/>
      <protection locked="0"/>
    </xf>
    <xf numFmtId="165" fontId="3" fillId="0" borderId="15" xfId="0" applyNumberFormat="1" applyFont="1" applyBorder="1" applyAlignment="1" applyProtection="1">
      <alignment horizontal="center" vertical="center"/>
      <protection locked="0"/>
    </xf>
    <xf numFmtId="165" fontId="3" fillId="0" borderId="17" xfId="0" applyNumberFormat="1" applyFont="1" applyBorder="1" applyAlignment="1" applyProtection="1">
      <alignment horizontal="center" vertical="center"/>
      <protection locked="0"/>
    </xf>
    <xf numFmtId="7" fontId="3" fillId="4" borderId="10" xfId="0" applyNumberFormat="1" applyFont="1" applyFill="1" applyBorder="1" applyAlignment="1" applyProtection="1">
      <alignment horizontal="center" vertical="center"/>
    </xf>
    <xf numFmtId="165" fontId="3" fillId="0" borderId="10" xfId="0" applyNumberFormat="1" applyFont="1" applyBorder="1" applyAlignment="1" applyProtection="1">
      <alignment horizontal="center" vertical="center"/>
      <protection locked="0"/>
    </xf>
    <xf numFmtId="165" fontId="6" fillId="5" borderId="10" xfId="0" applyNumberFormat="1" applyFont="1" applyFill="1" applyBorder="1" applyAlignment="1">
      <alignment horizontal="center" vertical="center"/>
    </xf>
    <xf numFmtId="0" fontId="3" fillId="4" borderId="49" xfId="0" applyFont="1" applyFill="1" applyBorder="1" applyAlignment="1" applyProtection="1">
      <alignment horizontal="center" vertical="center"/>
    </xf>
    <xf numFmtId="7" fontId="3" fillId="8" borderId="17" xfId="0" applyNumberFormat="1" applyFont="1" applyFill="1" applyBorder="1" applyAlignment="1" applyProtection="1">
      <alignment horizontal="center" vertical="center"/>
    </xf>
    <xf numFmtId="0" fontId="0" fillId="15" borderId="0" xfId="0" applyFill="1"/>
    <xf numFmtId="0" fontId="30" fillId="15" borderId="0" xfId="0" applyFont="1" applyFill="1"/>
    <xf numFmtId="0" fontId="30" fillId="0" borderId="16" xfId="0" applyFont="1" applyBorder="1"/>
    <xf numFmtId="167" fontId="30" fillId="0" borderId="16" xfId="0" applyNumberFormat="1" applyFont="1" applyBorder="1" applyAlignment="1">
      <alignment horizontal="center"/>
    </xf>
    <xf numFmtId="0" fontId="30" fillId="0" borderId="0" xfId="0" applyFont="1" applyAlignment="1">
      <alignment horizontal="center"/>
    </xf>
    <xf numFmtId="0" fontId="61" fillId="0" borderId="0" xfId="0" applyFont="1"/>
    <xf numFmtId="0" fontId="47" fillId="0" borderId="15" xfId="0" applyFont="1" applyBorder="1" applyAlignment="1">
      <alignment horizontal="center" vertical="center" wrapText="1"/>
    </xf>
    <xf numFmtId="0" fontId="47" fillId="0" borderId="17" xfId="0" applyFont="1" applyBorder="1" applyAlignment="1" applyProtection="1">
      <alignment horizontal="center" vertical="center" wrapText="1"/>
      <protection locked="0"/>
    </xf>
    <xf numFmtId="0" fontId="47" fillId="0" borderId="60" xfId="0" applyFont="1" applyBorder="1" applyAlignment="1" applyProtection="1">
      <alignment horizontal="center" vertical="center" wrapText="1"/>
      <protection locked="0"/>
    </xf>
    <xf numFmtId="0" fontId="64" fillId="15" borderId="1" xfId="0" applyFont="1" applyFill="1" applyBorder="1" applyAlignment="1">
      <alignment vertical="center"/>
    </xf>
    <xf numFmtId="0" fontId="29" fillId="15" borderId="2" xfId="0" applyFont="1" applyFill="1" applyBorder="1" applyAlignment="1">
      <alignment vertical="center"/>
    </xf>
    <xf numFmtId="0" fontId="29" fillId="15" borderId="2" xfId="0" applyFont="1" applyFill="1" applyBorder="1" applyAlignment="1">
      <alignment horizontal="center" vertical="center" wrapText="1"/>
    </xf>
    <xf numFmtId="0" fontId="26" fillId="15" borderId="3" xfId="0" applyFont="1" applyFill="1" applyBorder="1" applyAlignment="1">
      <alignment horizontal="center" vertical="center" wrapText="1"/>
    </xf>
    <xf numFmtId="0" fontId="66" fillId="5" borderId="1" xfId="0" applyFont="1" applyFill="1" applyBorder="1" applyAlignment="1">
      <alignment vertical="center"/>
    </xf>
    <xf numFmtId="0" fontId="63" fillId="9" borderId="22" xfId="0" applyNumberFormat="1" applyFont="1" applyFill="1" applyBorder="1" applyAlignment="1" applyProtection="1">
      <alignment vertical="center" wrapText="1" readingOrder="1"/>
    </xf>
    <xf numFmtId="0" fontId="17" fillId="0" borderId="66" xfId="0" applyFont="1" applyBorder="1" applyAlignment="1">
      <alignment vertical="center" wrapText="1"/>
    </xf>
    <xf numFmtId="0" fontId="17" fillId="0" borderId="65" xfId="0" applyFont="1" applyBorder="1" applyAlignment="1">
      <alignment vertical="center" wrapText="1"/>
    </xf>
    <xf numFmtId="0" fontId="27" fillId="17" borderId="0" xfId="0" applyFont="1" applyFill="1" applyAlignment="1">
      <alignment horizontal="center"/>
    </xf>
    <xf numFmtId="0" fontId="3" fillId="17" borderId="0" xfId="0" applyFont="1" applyFill="1" applyBorder="1" applyProtection="1"/>
    <xf numFmtId="0" fontId="28" fillId="17" borderId="0" xfId="0" applyFont="1" applyFill="1" applyBorder="1" applyAlignment="1">
      <alignment wrapText="1"/>
    </xf>
    <xf numFmtId="0" fontId="0" fillId="17" borderId="0" xfId="0" applyFill="1" applyAlignment="1">
      <alignment wrapText="1"/>
    </xf>
    <xf numFmtId="0" fontId="0" fillId="17" borderId="0" xfId="0" applyFill="1" applyAlignment="1">
      <alignment horizontal="center" wrapText="1"/>
    </xf>
    <xf numFmtId="0" fontId="0" fillId="17" borderId="0" xfId="0" applyFill="1"/>
    <xf numFmtId="0" fontId="27" fillId="17" borderId="0" xfId="0" applyFont="1" applyFill="1" applyAlignment="1">
      <alignment horizontal="center" vertical="center"/>
    </xf>
    <xf numFmtId="0" fontId="27" fillId="17" borderId="8" xfId="0" applyFont="1" applyFill="1" applyBorder="1" applyAlignment="1">
      <alignment horizontal="center" vertical="center"/>
    </xf>
    <xf numFmtId="0" fontId="27" fillId="17" borderId="53" xfId="0" applyFont="1" applyFill="1" applyBorder="1" applyAlignment="1">
      <alignment horizontal="center" vertical="center"/>
    </xf>
    <xf numFmtId="0" fontId="0" fillId="17" borderId="0" xfId="0" applyFill="1" applyAlignment="1">
      <alignment vertical="center"/>
    </xf>
    <xf numFmtId="0" fontId="3" fillId="17" borderId="0" xfId="0" applyFont="1" applyFill="1" applyBorder="1" applyAlignment="1">
      <alignment wrapText="1"/>
    </xf>
    <xf numFmtId="0" fontId="50" fillId="16" borderId="0" xfId="0" applyFont="1" applyFill="1" applyBorder="1" applyAlignment="1">
      <alignment horizontal="center" vertical="center"/>
    </xf>
    <xf numFmtId="0" fontId="27" fillId="16" borderId="0" xfId="0" applyFont="1" applyFill="1" applyAlignment="1">
      <alignment horizontal="center"/>
    </xf>
    <xf numFmtId="0" fontId="36" fillId="16" borderId="0" xfId="0" applyFont="1" applyFill="1" applyAlignment="1">
      <alignment horizontal="right" wrapText="1"/>
    </xf>
    <xf numFmtId="0" fontId="0" fillId="16" borderId="0" xfId="0" applyFill="1" applyAlignment="1">
      <alignment wrapText="1"/>
    </xf>
    <xf numFmtId="14" fontId="36" fillId="16" borderId="51" xfId="0" applyNumberFormat="1" applyFont="1" applyFill="1" applyBorder="1" applyAlignment="1" applyProtection="1">
      <alignment horizontal="center" wrapText="1"/>
      <protection locked="0"/>
    </xf>
    <xf numFmtId="0" fontId="0" fillId="16" borderId="0" xfId="0" applyFill="1" applyAlignment="1">
      <alignment horizontal="center" wrapText="1"/>
    </xf>
    <xf numFmtId="0" fontId="68" fillId="17" borderId="47" xfId="0" applyFont="1" applyFill="1" applyBorder="1" applyAlignment="1" applyProtection="1">
      <alignment vertical="center"/>
    </xf>
    <xf numFmtId="0" fontId="0" fillId="0" borderId="63" xfId="0" applyBorder="1"/>
    <xf numFmtId="0" fontId="44" fillId="0" borderId="0" xfId="0" applyFont="1" applyFill="1"/>
    <xf numFmtId="7" fontId="73" fillId="4" borderId="25" xfId="1" applyNumberFormat="1" applyFont="1" applyFill="1" applyBorder="1" applyAlignment="1" applyProtection="1">
      <alignment horizontal="center" vertical="center"/>
    </xf>
    <xf numFmtId="7" fontId="73" fillId="4" borderId="58" xfId="1" applyNumberFormat="1" applyFont="1" applyFill="1" applyBorder="1" applyAlignment="1" applyProtection="1">
      <alignment horizontal="center" vertical="center"/>
    </xf>
    <xf numFmtId="7" fontId="73" fillId="4" borderId="16" xfId="0" applyNumberFormat="1" applyFont="1" applyFill="1" applyBorder="1" applyAlignment="1" applyProtection="1">
      <alignment horizontal="center" vertical="center"/>
    </xf>
    <xf numFmtId="7" fontId="74" fillId="4" borderId="16" xfId="0" applyNumberFormat="1" applyFont="1" applyFill="1" applyBorder="1" applyAlignment="1" applyProtection="1">
      <alignment horizontal="center" vertical="center"/>
    </xf>
    <xf numFmtId="7" fontId="73" fillId="4" borderId="8" xfId="0" applyNumberFormat="1" applyFont="1" applyFill="1" applyBorder="1" applyAlignment="1" applyProtection="1">
      <alignment horizontal="center" vertical="center"/>
    </xf>
    <xf numFmtId="7" fontId="75" fillId="4" borderId="8" xfId="0" applyNumberFormat="1" applyFont="1" applyFill="1" applyBorder="1" applyAlignment="1" applyProtection="1">
      <alignment horizontal="center" vertical="center" wrapText="1"/>
    </xf>
    <xf numFmtId="7" fontId="75" fillId="4" borderId="8" xfId="0" applyNumberFormat="1" applyFont="1" applyFill="1" applyBorder="1" applyAlignment="1" applyProtection="1">
      <alignment horizontal="center" vertical="center"/>
    </xf>
    <xf numFmtId="0" fontId="0" fillId="0" borderId="0" xfId="0" applyAlignment="1">
      <alignment horizontal="center" vertical="center"/>
    </xf>
    <xf numFmtId="164" fontId="2" fillId="0" borderId="25" xfId="0" applyNumberFormat="1" applyFont="1" applyFill="1" applyBorder="1" applyAlignment="1" applyProtection="1">
      <alignment horizontal="center" vertical="center" wrapText="1"/>
      <protection locked="0"/>
    </xf>
    <xf numFmtId="0" fontId="44" fillId="0" borderId="0" xfId="0" applyFont="1" applyAlignment="1">
      <alignment horizontal="center" vertical="center"/>
    </xf>
    <xf numFmtId="5" fontId="72" fillId="9" borderId="50" xfId="0" applyNumberFormat="1" applyFont="1" applyFill="1" applyBorder="1" applyAlignment="1">
      <alignment horizontal="center" vertical="center"/>
    </xf>
    <xf numFmtId="5" fontId="73" fillId="9" borderId="39" xfId="0" applyNumberFormat="1" applyFont="1" applyFill="1" applyBorder="1" applyAlignment="1">
      <alignment horizontal="center" vertical="center"/>
    </xf>
    <xf numFmtId="5" fontId="72" fillId="9" borderId="39" xfId="0" applyNumberFormat="1" applyFont="1" applyFill="1" applyBorder="1" applyAlignment="1">
      <alignment horizontal="center" vertical="center"/>
    </xf>
    <xf numFmtId="0" fontId="77" fillId="6" borderId="32" xfId="0" applyFont="1" applyFill="1" applyBorder="1" applyAlignment="1">
      <alignment horizontal="center" vertical="center"/>
    </xf>
    <xf numFmtId="0" fontId="77" fillId="6" borderId="57" xfId="0" applyFont="1" applyFill="1" applyBorder="1" applyAlignment="1">
      <alignment horizontal="center" vertical="center"/>
    </xf>
    <xf numFmtId="0" fontId="42" fillId="6" borderId="22" xfId="0" applyFont="1" applyFill="1" applyBorder="1" applyAlignment="1">
      <alignment horizontal="center" vertical="center"/>
    </xf>
    <xf numFmtId="0" fontId="17" fillId="11" borderId="16" xfId="0" applyFont="1" applyFill="1" applyBorder="1" applyAlignment="1" applyProtection="1">
      <alignment horizontal="center" vertical="center" wrapText="1"/>
    </xf>
    <xf numFmtId="0" fontId="3" fillId="19" borderId="39" xfId="0" applyFont="1" applyFill="1" applyBorder="1" applyAlignment="1">
      <alignment horizontal="left" vertical="center"/>
    </xf>
    <xf numFmtId="0" fontId="17" fillId="0" borderId="0" xfId="0" applyFont="1" applyAlignment="1">
      <alignment horizontal="center"/>
    </xf>
    <xf numFmtId="167" fontId="0" fillId="0" borderId="0" xfId="0" applyNumberFormat="1"/>
    <xf numFmtId="167" fontId="30" fillId="0" borderId="0" xfId="0" applyNumberFormat="1" applyFont="1"/>
    <xf numFmtId="167" fontId="30" fillId="15" borderId="0" xfId="0" applyNumberFormat="1" applyFont="1" applyFill="1"/>
    <xf numFmtId="167" fontId="17" fillId="0" borderId="0" xfId="0" applyNumberFormat="1" applyFont="1" applyAlignment="1">
      <alignment horizontal="center"/>
    </xf>
    <xf numFmtId="167" fontId="0" fillId="0" borderId="16" xfId="0" applyNumberFormat="1" applyBorder="1" applyAlignment="1">
      <alignment horizontal="center"/>
    </xf>
    <xf numFmtId="0" fontId="11" fillId="2" borderId="35" xfId="0" applyFont="1" applyFill="1" applyBorder="1" applyAlignment="1">
      <alignment horizontal="left" vertical="center" wrapText="1"/>
    </xf>
    <xf numFmtId="0" fontId="69" fillId="2" borderId="7" xfId="0" applyFont="1" applyFill="1" applyBorder="1" applyAlignment="1" applyProtection="1">
      <alignment horizontal="left" vertical="center"/>
    </xf>
    <xf numFmtId="164" fontId="2" fillId="0" borderId="21" xfId="0" applyNumberFormat="1" applyFont="1" applyFill="1" applyBorder="1" applyAlignment="1" applyProtection="1">
      <alignment horizontal="center" vertical="center" wrapText="1"/>
      <protection locked="0"/>
    </xf>
    <xf numFmtId="165" fontId="2" fillId="0" borderId="0" xfId="0" applyNumberFormat="1" applyFont="1" applyBorder="1" applyAlignment="1" applyProtection="1">
      <alignment horizontal="center" vertical="center"/>
      <protection locked="0"/>
    </xf>
    <xf numFmtId="0" fontId="3" fillId="2" borderId="35" xfId="0" applyFont="1" applyFill="1" applyBorder="1" applyAlignment="1">
      <alignment horizontal="left" vertical="center"/>
    </xf>
    <xf numFmtId="165" fontId="3" fillId="0" borderId="25" xfId="0" applyNumberFormat="1" applyFont="1" applyBorder="1" applyAlignment="1" applyProtection="1">
      <alignment horizontal="center" vertical="center"/>
      <protection locked="0"/>
    </xf>
    <xf numFmtId="165" fontId="3" fillId="0" borderId="21" xfId="0" applyNumberFormat="1" applyFont="1" applyBorder="1" applyAlignment="1" applyProtection="1">
      <alignment horizontal="center" vertical="center"/>
      <protection locked="0"/>
    </xf>
    <xf numFmtId="0" fontId="82" fillId="0" borderId="0" xfId="0" applyFont="1" applyAlignment="1">
      <alignment horizontal="center" vertical="center"/>
    </xf>
    <xf numFmtId="0" fontId="17" fillId="0" borderId="0" xfId="0" applyFont="1"/>
    <xf numFmtId="7" fontId="2" fillId="0" borderId="16" xfId="0" applyNumberFormat="1" applyFont="1" applyFill="1" applyBorder="1" applyAlignment="1" applyProtection="1">
      <alignment horizontal="center" vertical="center"/>
      <protection locked="0"/>
    </xf>
    <xf numFmtId="7" fontId="2" fillId="0" borderId="17" xfId="0" applyNumberFormat="1" applyFont="1" applyFill="1" applyBorder="1" applyAlignment="1" applyProtection="1">
      <alignment horizontal="center" vertical="center"/>
      <protection locked="0"/>
    </xf>
    <xf numFmtId="0" fontId="82" fillId="0" borderId="0" xfId="0" applyFont="1" applyFill="1" applyAlignment="1">
      <alignment horizontal="left" vertical="center"/>
    </xf>
    <xf numFmtId="165" fontId="2" fillId="0" borderId="47" xfId="0" applyNumberFormat="1" applyFont="1" applyBorder="1" applyAlignment="1" applyProtection="1">
      <alignment horizontal="center" vertical="center"/>
      <protection locked="0"/>
    </xf>
    <xf numFmtId="7" fontId="3" fillId="0" borderId="0" xfId="1" applyNumberFormat="1" applyFont="1" applyFill="1" applyBorder="1" applyAlignment="1" applyProtection="1">
      <alignment horizontal="center" vertical="center"/>
      <protection locked="0"/>
    </xf>
    <xf numFmtId="164" fontId="2" fillId="0" borderId="0" xfId="0" applyNumberFormat="1" applyFont="1" applyFill="1" applyBorder="1" applyAlignment="1">
      <alignment horizontal="center" vertical="center" wrapText="1"/>
    </xf>
    <xf numFmtId="0" fontId="2" fillId="6" borderId="26" xfId="0" applyFont="1" applyFill="1" applyBorder="1" applyAlignment="1">
      <alignment vertical="center"/>
    </xf>
    <xf numFmtId="0" fontId="2" fillId="6" borderId="27" xfId="0" applyFont="1" applyFill="1" applyBorder="1" applyAlignment="1">
      <alignment vertical="center"/>
    </xf>
    <xf numFmtId="49" fontId="70" fillId="0" borderId="0" xfId="0" applyNumberFormat="1" applyFont="1" applyFill="1" applyBorder="1" applyAlignment="1">
      <alignment horizontal="left" vertical="center" wrapText="1"/>
    </xf>
    <xf numFmtId="0" fontId="77" fillId="18" borderId="46" xfId="0" applyFont="1" applyFill="1" applyBorder="1" applyAlignment="1">
      <alignment horizontal="right" vertical="center"/>
    </xf>
    <xf numFmtId="164" fontId="2" fillId="6" borderId="12" xfId="0" applyNumberFormat="1" applyFont="1" applyFill="1" applyBorder="1" applyAlignment="1">
      <alignment horizontal="center" vertical="center" wrapText="1"/>
    </xf>
    <xf numFmtId="164" fontId="2" fillId="6" borderId="13" xfId="0" applyNumberFormat="1" applyFont="1" applyFill="1" applyBorder="1" applyAlignment="1">
      <alignment horizontal="center" vertical="center" wrapText="1"/>
    </xf>
    <xf numFmtId="0" fontId="42" fillId="6" borderId="11" xfId="0" applyFont="1" applyFill="1" applyBorder="1" applyAlignment="1">
      <alignment horizontal="left" vertical="center"/>
    </xf>
    <xf numFmtId="0" fontId="42" fillId="6" borderId="23" xfId="0" applyFont="1" applyFill="1" applyBorder="1" applyAlignment="1">
      <alignment vertical="center"/>
    </xf>
    <xf numFmtId="165" fontId="2" fillId="0" borderId="0" xfId="0" applyNumberFormat="1" applyFont="1" applyFill="1" applyBorder="1" applyAlignment="1" applyProtection="1">
      <alignment vertical="center"/>
      <protection locked="0"/>
    </xf>
    <xf numFmtId="0" fontId="2" fillId="0" borderId="0" xfId="0" applyFont="1" applyFill="1" applyBorder="1" applyAlignment="1">
      <alignment vertical="center"/>
    </xf>
    <xf numFmtId="7" fontId="3" fillId="0" borderId="32" xfId="1" applyNumberFormat="1" applyFont="1" applyFill="1" applyBorder="1" applyAlignment="1" applyProtection="1">
      <alignment horizontal="center" vertical="center"/>
      <protection locked="0"/>
    </xf>
    <xf numFmtId="7" fontId="3" fillId="0" borderId="33" xfId="1" applyNumberFormat="1" applyFont="1" applyFill="1" applyBorder="1" applyAlignment="1" applyProtection="1">
      <alignment horizontal="center" vertical="center"/>
      <protection locked="0"/>
    </xf>
    <xf numFmtId="165" fontId="2" fillId="6" borderId="2" xfId="0" applyNumberFormat="1" applyFont="1" applyFill="1" applyBorder="1" applyAlignment="1" applyProtection="1">
      <alignment vertical="center"/>
      <protection locked="0"/>
    </xf>
    <xf numFmtId="165" fontId="2" fillId="6" borderId="3" xfId="0" applyNumberFormat="1" applyFont="1" applyFill="1" applyBorder="1" applyAlignment="1" applyProtection="1">
      <alignment vertical="center"/>
      <protection locked="0"/>
    </xf>
    <xf numFmtId="49" fontId="85" fillId="20" borderId="67" xfId="0" applyNumberFormat="1" applyFont="1" applyFill="1" applyBorder="1" applyAlignment="1">
      <alignment horizontal="left" vertical="center" wrapText="1"/>
    </xf>
    <xf numFmtId="0" fontId="71" fillId="0" borderId="63" xfId="0" applyFont="1" applyFill="1" applyBorder="1" applyAlignment="1">
      <alignment vertical="center"/>
    </xf>
    <xf numFmtId="0" fontId="71" fillId="0" borderId="0" xfId="0" applyFont="1" applyFill="1" applyBorder="1" applyAlignment="1">
      <alignment vertical="center"/>
    </xf>
    <xf numFmtId="0" fontId="18" fillId="3" borderId="1" xfId="0" applyFont="1" applyFill="1" applyBorder="1" applyAlignment="1" applyProtection="1">
      <alignment horizontal="right" vertical="center" wrapText="1" indent="7"/>
    </xf>
    <xf numFmtId="0" fontId="18" fillId="3" borderId="3" xfId="0" applyFont="1" applyFill="1" applyBorder="1" applyAlignment="1" applyProtection="1">
      <alignment horizontal="right" vertical="center" indent="7"/>
    </xf>
    <xf numFmtId="0" fontId="18" fillId="3" borderId="46" xfId="0" applyFont="1" applyFill="1" applyBorder="1" applyAlignment="1" applyProtection="1">
      <alignment horizontal="right" vertical="center" indent="7"/>
    </xf>
    <xf numFmtId="0" fontId="18" fillId="3" borderId="47" xfId="0" applyFont="1" applyFill="1" applyBorder="1" applyAlignment="1" applyProtection="1">
      <alignment horizontal="right" vertical="center" indent="7"/>
    </xf>
    <xf numFmtId="0" fontId="18" fillId="3" borderId="4" xfId="0" applyFont="1" applyFill="1" applyBorder="1" applyAlignment="1" applyProtection="1">
      <alignment horizontal="right" vertical="center" indent="7"/>
    </xf>
    <xf numFmtId="0" fontId="18" fillId="3" borderId="5" xfId="0" applyFont="1" applyFill="1" applyBorder="1" applyAlignment="1" applyProtection="1">
      <alignment horizontal="right" vertical="center" indent="7"/>
    </xf>
    <xf numFmtId="0" fontId="7" fillId="3" borderId="1" xfId="0" applyFont="1" applyFill="1" applyBorder="1" applyAlignment="1">
      <alignment horizontal="center" vertical="center" wrapText="1"/>
    </xf>
    <xf numFmtId="0" fontId="7" fillId="3" borderId="2" xfId="0" applyFont="1" applyFill="1" applyBorder="1" applyAlignment="1">
      <alignment horizontal="center" vertical="center"/>
    </xf>
    <xf numFmtId="0" fontId="7" fillId="3" borderId="3" xfId="0" applyFont="1" applyFill="1" applyBorder="1" applyAlignment="1">
      <alignment horizontal="center" vertical="center"/>
    </xf>
    <xf numFmtId="0" fontId="2" fillId="6" borderId="1" xfId="0" applyFont="1" applyFill="1" applyBorder="1" applyAlignment="1">
      <alignment horizontal="left" vertical="center"/>
    </xf>
    <xf numFmtId="0" fontId="2" fillId="6" borderId="2" xfId="0" applyFont="1" applyFill="1" applyBorder="1" applyAlignment="1">
      <alignment horizontal="left" vertical="center"/>
    </xf>
    <xf numFmtId="0" fontId="2" fillId="6" borderId="3" xfId="0" applyFont="1" applyFill="1" applyBorder="1" applyAlignment="1">
      <alignment horizontal="left" vertical="center"/>
    </xf>
    <xf numFmtId="0" fontId="2" fillId="6" borderId="11" xfId="0" applyFont="1" applyFill="1" applyBorder="1" applyAlignment="1">
      <alignment horizontal="left" vertical="center"/>
    </xf>
    <xf numFmtId="0" fontId="2" fillId="6" borderId="12" xfId="0" applyFont="1" applyFill="1" applyBorder="1" applyAlignment="1">
      <alignment horizontal="left" vertical="center"/>
    </xf>
    <xf numFmtId="0" fontId="2" fillId="6" borderId="13" xfId="0" applyFont="1" applyFill="1" applyBorder="1" applyAlignment="1">
      <alignment horizontal="left" vertical="center"/>
    </xf>
    <xf numFmtId="0" fontId="2" fillId="0" borderId="8" xfId="0" applyFont="1" applyFill="1" applyBorder="1" applyAlignment="1" applyProtection="1">
      <alignment horizontal="left" vertical="center"/>
      <protection locked="0"/>
    </xf>
    <xf numFmtId="0" fontId="2" fillId="0" borderId="9" xfId="0" applyFont="1" applyFill="1" applyBorder="1" applyAlignment="1" applyProtection="1">
      <alignment horizontal="left" vertical="center"/>
      <protection locked="0"/>
    </xf>
    <xf numFmtId="0" fontId="2" fillId="0" borderId="10" xfId="0" applyFont="1" applyFill="1" applyBorder="1" applyAlignment="1" applyProtection="1">
      <alignment horizontal="left" vertical="center"/>
      <protection locked="0"/>
    </xf>
    <xf numFmtId="166" fontId="2" fillId="0" borderId="43" xfId="0" applyNumberFormat="1" applyFont="1" applyFill="1" applyBorder="1" applyAlignment="1" applyProtection="1">
      <alignment horizontal="left" vertical="center"/>
      <protection locked="0"/>
    </xf>
    <xf numFmtId="166" fontId="2" fillId="0" borderId="44" xfId="0" applyNumberFormat="1" applyFont="1" applyFill="1" applyBorder="1" applyAlignment="1" applyProtection="1">
      <alignment horizontal="left" vertical="center"/>
      <protection locked="0"/>
    </xf>
    <xf numFmtId="166" fontId="2" fillId="0" borderId="8" xfId="0" applyNumberFormat="1" applyFont="1" applyFill="1" applyBorder="1" applyAlignment="1" applyProtection="1">
      <alignment horizontal="left" vertical="center"/>
      <protection locked="0"/>
    </xf>
    <xf numFmtId="166" fontId="2" fillId="0" borderId="10" xfId="0" applyNumberFormat="1" applyFont="1" applyFill="1" applyBorder="1" applyAlignment="1" applyProtection="1">
      <alignment horizontal="left" vertical="center"/>
      <protection locked="0"/>
    </xf>
    <xf numFmtId="0" fontId="2" fillId="6" borderId="23" xfId="0" applyFont="1" applyFill="1" applyBorder="1" applyAlignment="1">
      <alignment horizontal="center" vertical="center"/>
    </xf>
    <xf numFmtId="0" fontId="2" fillId="6" borderId="26" xfId="0" applyFont="1" applyFill="1" applyBorder="1" applyAlignment="1">
      <alignment horizontal="center" vertical="center"/>
    </xf>
    <xf numFmtId="0" fontId="2" fillId="6" borderId="27" xfId="0" applyFont="1" applyFill="1" applyBorder="1" applyAlignment="1">
      <alignment horizontal="center" vertical="center"/>
    </xf>
    <xf numFmtId="0" fontId="14" fillId="4" borderId="42" xfId="0" applyFont="1" applyFill="1" applyBorder="1" applyAlignment="1" applyProtection="1">
      <alignment horizontal="left" vertical="center"/>
    </xf>
    <xf numFmtId="0" fontId="14" fillId="4" borderId="40" xfId="0" applyFont="1" applyFill="1" applyBorder="1" applyAlignment="1" applyProtection="1">
      <alignment horizontal="left" vertical="center"/>
    </xf>
    <xf numFmtId="0" fontId="83" fillId="0" borderId="2" xfId="0" applyFont="1" applyBorder="1" applyAlignment="1">
      <alignment horizontal="center" vertical="center"/>
    </xf>
    <xf numFmtId="0" fontId="71" fillId="0" borderId="63" xfId="0" applyFont="1" applyFill="1" applyBorder="1" applyAlignment="1">
      <alignment horizontal="center" vertical="center"/>
    </xf>
    <xf numFmtId="0" fontId="71" fillId="0" borderId="0" xfId="0" applyFont="1" applyFill="1" applyBorder="1" applyAlignment="1">
      <alignment horizontal="center" vertical="center"/>
    </xf>
    <xf numFmtId="0" fontId="39" fillId="0" borderId="2" xfId="0" applyFont="1" applyBorder="1" applyAlignment="1">
      <alignment horizontal="center" vertical="center"/>
    </xf>
    <xf numFmtId="0" fontId="14" fillId="4" borderId="7" xfId="0" applyFont="1" applyFill="1" applyBorder="1" applyAlignment="1" applyProtection="1">
      <alignment horizontal="left" vertical="center"/>
    </xf>
    <xf numFmtId="0" fontId="14" fillId="4" borderId="16" xfId="0" applyFont="1" applyFill="1" applyBorder="1" applyAlignment="1" applyProtection="1">
      <alignment horizontal="left" vertical="center"/>
    </xf>
    <xf numFmtId="0" fontId="51" fillId="4" borderId="7" xfId="0" applyFont="1" applyFill="1" applyBorder="1" applyAlignment="1" applyProtection="1">
      <alignment horizontal="left" vertical="center"/>
    </xf>
    <xf numFmtId="0" fontId="51" fillId="4" borderId="16" xfId="0" applyFont="1" applyFill="1" applyBorder="1" applyAlignment="1" applyProtection="1">
      <alignment horizontal="left" vertical="center"/>
    </xf>
    <xf numFmtId="0" fontId="14" fillId="4" borderId="18" xfId="0" applyFont="1" applyFill="1" applyBorder="1" applyAlignment="1" applyProtection="1">
      <alignment horizontal="left" vertical="center"/>
    </xf>
    <xf numFmtId="0" fontId="14" fillId="4" borderId="19" xfId="0" applyFont="1" applyFill="1" applyBorder="1" applyAlignment="1" applyProtection="1">
      <alignment horizontal="left" vertical="center"/>
    </xf>
    <xf numFmtId="7" fontId="76" fillId="4" borderId="43" xfId="0" applyNumberFormat="1" applyFont="1" applyFill="1" applyBorder="1" applyAlignment="1" applyProtection="1">
      <alignment horizontal="center" vertical="center"/>
    </xf>
    <xf numFmtId="7" fontId="76" fillId="4" borderId="44" xfId="0" applyNumberFormat="1" applyFont="1" applyFill="1" applyBorder="1" applyAlignment="1" applyProtection="1">
      <alignment horizontal="center" vertical="center"/>
    </xf>
    <xf numFmtId="7" fontId="76" fillId="4" borderId="49" xfId="0" applyNumberFormat="1" applyFont="1" applyFill="1" applyBorder="1" applyAlignment="1" applyProtection="1">
      <alignment horizontal="center" vertical="center"/>
    </xf>
    <xf numFmtId="0" fontId="15" fillId="4" borderId="7" xfId="0" applyFont="1" applyFill="1" applyBorder="1" applyAlignment="1" applyProtection="1">
      <alignment horizontal="left" vertical="center"/>
    </xf>
    <xf numFmtId="0" fontId="15" fillId="4" borderId="16" xfId="0" applyFont="1" applyFill="1" applyBorder="1" applyAlignment="1" applyProtection="1">
      <alignment horizontal="left" vertical="center"/>
    </xf>
    <xf numFmtId="0" fontId="40" fillId="0" borderId="0" xfId="0" applyFont="1" applyAlignment="1">
      <alignment horizontal="center" vertical="center" wrapText="1"/>
    </xf>
    <xf numFmtId="0" fontId="12" fillId="6" borderId="23" xfId="0" applyFont="1" applyFill="1" applyBorder="1" applyAlignment="1">
      <alignment horizontal="center" vertical="center"/>
    </xf>
    <xf numFmtId="0" fontId="12" fillId="6" borderId="26" xfId="0" applyFont="1" applyFill="1" applyBorder="1" applyAlignment="1">
      <alignment horizontal="center" vertical="center"/>
    </xf>
    <xf numFmtId="0" fontId="12" fillId="6" borderId="3" xfId="0" applyFont="1" applyFill="1" applyBorder="1" applyAlignment="1">
      <alignment horizontal="center" vertical="center"/>
    </xf>
    <xf numFmtId="165" fontId="86" fillId="0" borderId="23" xfId="0" applyNumberFormat="1" applyFont="1" applyFill="1" applyBorder="1" applyAlignment="1" applyProtection="1">
      <alignment horizontal="center" vertical="center"/>
      <protection locked="0"/>
    </xf>
    <xf numFmtId="165" fontId="86" fillId="0" borderId="27" xfId="0" applyNumberFormat="1" applyFont="1" applyFill="1" applyBorder="1" applyAlignment="1" applyProtection="1">
      <alignment horizontal="center" vertical="center"/>
      <protection locked="0"/>
    </xf>
    <xf numFmtId="0" fontId="2" fillId="6" borderId="11" xfId="0" applyFont="1" applyFill="1" applyBorder="1" applyAlignment="1">
      <alignment horizontal="left" vertical="center" wrapText="1"/>
    </xf>
    <xf numFmtId="0" fontId="42" fillId="6" borderId="24" xfId="0" applyFont="1" applyFill="1" applyBorder="1" applyAlignment="1">
      <alignment horizontal="left" vertical="center"/>
    </xf>
    <xf numFmtId="0" fontId="42" fillId="6" borderId="28" xfId="0" applyFont="1" applyFill="1" applyBorder="1" applyAlignment="1">
      <alignment horizontal="left" vertical="center"/>
    </xf>
    <xf numFmtId="0" fontId="42" fillId="6" borderId="29" xfId="0" applyFont="1" applyFill="1" applyBorder="1" applyAlignment="1">
      <alignment horizontal="left" vertical="center"/>
    </xf>
    <xf numFmtId="0" fontId="5" fillId="6" borderId="4" xfId="0" applyFont="1" applyFill="1" applyBorder="1" applyAlignment="1">
      <alignment horizontal="left" vertical="center"/>
    </xf>
    <xf numFmtId="0" fontId="5" fillId="6" borderId="34" xfId="0" applyFont="1" applyFill="1" applyBorder="1" applyAlignment="1">
      <alignment horizontal="left" vertical="center"/>
    </xf>
    <xf numFmtId="0" fontId="38" fillId="0" borderId="56" xfId="0" applyFont="1" applyFill="1" applyBorder="1" applyAlignment="1" applyProtection="1">
      <alignment horizontal="center" vertical="center" wrapText="1"/>
    </xf>
    <xf numFmtId="0" fontId="38" fillId="0" borderId="9" xfId="0" applyFont="1" applyFill="1" applyBorder="1" applyAlignment="1" applyProtection="1">
      <alignment horizontal="center" vertical="center" wrapText="1"/>
    </xf>
    <xf numFmtId="0" fontId="38" fillId="0" borderId="10" xfId="0" applyFont="1" applyFill="1" applyBorder="1" applyAlignment="1" applyProtection="1">
      <alignment horizontal="center" vertical="center" wrapText="1"/>
    </xf>
    <xf numFmtId="0" fontId="7" fillId="3" borderId="1" xfId="0" applyFont="1" applyFill="1" applyBorder="1" applyAlignment="1" applyProtection="1">
      <alignment horizontal="center" vertical="center" wrapText="1"/>
    </xf>
    <xf numFmtId="0" fontId="7" fillId="3" borderId="2" xfId="0" applyFont="1" applyFill="1" applyBorder="1" applyAlignment="1" applyProtection="1">
      <alignment horizontal="center" vertical="center"/>
    </xf>
    <xf numFmtId="0" fontId="7" fillId="3" borderId="3" xfId="0" applyFont="1" applyFill="1" applyBorder="1" applyAlignment="1" applyProtection="1">
      <alignment horizontal="center" vertical="center"/>
    </xf>
    <xf numFmtId="0" fontId="2" fillId="6" borderId="7" xfId="0" applyFont="1" applyFill="1" applyBorder="1" applyAlignment="1" applyProtection="1">
      <alignment horizontal="left" vertical="center"/>
    </xf>
    <xf numFmtId="0" fontId="2" fillId="6" borderId="16" xfId="0" applyFont="1" applyFill="1" applyBorder="1" applyAlignment="1" applyProtection="1">
      <alignment horizontal="left" vertical="center"/>
    </xf>
    <xf numFmtId="0" fontId="2" fillId="6" borderId="17" xfId="0" applyFont="1" applyFill="1" applyBorder="1" applyAlignment="1" applyProtection="1">
      <alignment horizontal="left" vertical="center"/>
    </xf>
    <xf numFmtId="0" fontId="3" fillId="4" borderId="7" xfId="0" applyFont="1" applyFill="1" applyBorder="1" applyAlignment="1" applyProtection="1">
      <alignment horizontal="left"/>
    </xf>
    <xf numFmtId="0" fontId="3" fillId="4" borderId="16" xfId="0" applyFont="1" applyFill="1" applyBorder="1" applyAlignment="1" applyProtection="1">
      <alignment horizontal="left"/>
    </xf>
    <xf numFmtId="0" fontId="2" fillId="6" borderId="35" xfId="0" applyFont="1" applyFill="1" applyBorder="1" applyAlignment="1" applyProtection="1">
      <alignment horizontal="left" vertical="center"/>
    </xf>
    <xf numFmtId="0" fontId="2" fillId="6" borderId="25" xfId="0" applyFont="1" applyFill="1" applyBorder="1" applyAlignment="1" applyProtection="1">
      <alignment horizontal="left" vertical="center"/>
    </xf>
    <xf numFmtId="0" fontId="2" fillId="6" borderId="21" xfId="0" applyFont="1" applyFill="1" applyBorder="1" applyAlignment="1" applyProtection="1">
      <alignment horizontal="left" vertical="center"/>
    </xf>
    <xf numFmtId="0" fontId="2" fillId="4" borderId="35" xfId="0" applyFont="1" applyFill="1" applyBorder="1" applyAlignment="1" applyProtection="1">
      <alignment horizontal="left" vertical="center"/>
    </xf>
    <xf numFmtId="0" fontId="2" fillId="4" borderId="25" xfId="0" applyFont="1" applyFill="1" applyBorder="1" applyAlignment="1" applyProtection="1">
      <alignment horizontal="left" vertical="center"/>
    </xf>
    <xf numFmtId="0" fontId="2" fillId="4" borderId="21" xfId="0" applyFont="1" applyFill="1" applyBorder="1" applyAlignment="1" applyProtection="1">
      <alignment horizontal="left" vertical="center"/>
    </xf>
    <xf numFmtId="0" fontId="5" fillId="6" borderId="24" xfId="0" applyFont="1" applyFill="1" applyBorder="1" applyAlignment="1" applyProtection="1">
      <alignment horizontal="left"/>
    </xf>
    <xf numFmtId="0" fontId="5" fillId="6" borderId="28" xfId="0" applyFont="1" applyFill="1" applyBorder="1" applyAlignment="1" applyProtection="1">
      <alignment horizontal="left"/>
    </xf>
    <xf numFmtId="0" fontId="3" fillId="4" borderId="35" xfId="0" applyFont="1" applyFill="1" applyBorder="1" applyAlignment="1" applyProtection="1">
      <alignment horizontal="left"/>
    </xf>
    <xf numFmtId="0" fontId="3" fillId="4" borderId="25" xfId="0" applyFont="1" applyFill="1" applyBorder="1" applyAlignment="1" applyProtection="1">
      <alignment horizontal="left"/>
    </xf>
    <xf numFmtId="14" fontId="2" fillId="0" borderId="8" xfId="0" applyNumberFormat="1" applyFont="1" applyFill="1" applyBorder="1" applyAlignment="1" applyProtection="1">
      <alignment horizontal="left" vertical="center"/>
      <protection locked="0"/>
    </xf>
    <xf numFmtId="14" fontId="2" fillId="0" borderId="43" xfId="0" applyNumberFormat="1" applyFont="1" applyFill="1" applyBorder="1" applyAlignment="1" applyProtection="1">
      <alignment horizontal="left" vertical="center"/>
      <protection locked="0"/>
    </xf>
    <xf numFmtId="0" fontId="2" fillId="0" borderId="44" xfId="0" applyFont="1" applyFill="1" applyBorder="1" applyAlignment="1" applyProtection="1">
      <alignment horizontal="left" vertical="center"/>
      <protection locked="0"/>
    </xf>
    <xf numFmtId="7" fontId="2" fillId="4" borderId="43" xfId="0" applyNumberFormat="1" applyFont="1" applyFill="1" applyBorder="1" applyAlignment="1" applyProtection="1">
      <alignment horizontal="center" vertical="center"/>
    </xf>
    <xf numFmtId="7" fontId="2" fillId="4" borderId="44" xfId="0" applyNumberFormat="1" applyFont="1" applyFill="1" applyBorder="1" applyAlignment="1" applyProtection="1">
      <alignment horizontal="center" vertical="center"/>
    </xf>
    <xf numFmtId="7" fontId="2" fillId="4" borderId="49" xfId="0" applyNumberFormat="1" applyFont="1" applyFill="1" applyBorder="1" applyAlignment="1" applyProtection="1">
      <alignment horizontal="center" vertical="center"/>
    </xf>
    <xf numFmtId="0" fontId="3" fillId="4" borderId="18" xfId="0" applyFont="1" applyFill="1" applyBorder="1" applyAlignment="1" applyProtection="1">
      <alignment horizontal="left"/>
    </xf>
    <xf numFmtId="0" fontId="3" fillId="4" borderId="19" xfId="0" applyFont="1" applyFill="1" applyBorder="1" applyAlignment="1" applyProtection="1">
      <alignment horizontal="left"/>
    </xf>
    <xf numFmtId="0" fontId="3" fillId="0" borderId="16" xfId="0" applyFont="1" applyBorder="1" applyAlignment="1" applyProtection="1">
      <alignment horizontal="left" wrapText="1"/>
    </xf>
    <xf numFmtId="0" fontId="3" fillId="11" borderId="9" xfId="0" applyFont="1" applyFill="1" applyBorder="1" applyAlignment="1" applyProtection="1">
      <alignment horizontal="left" wrapText="1"/>
      <protection locked="0"/>
    </xf>
    <xf numFmtId="0" fontId="3" fillId="11" borderId="37" xfId="0" applyFont="1" applyFill="1" applyBorder="1" applyAlignment="1" applyProtection="1">
      <alignment horizontal="left" wrapText="1"/>
      <protection locked="0"/>
    </xf>
    <xf numFmtId="0" fontId="67" fillId="16" borderId="46" xfId="0" applyFont="1" applyFill="1" applyBorder="1" applyAlignment="1">
      <alignment horizontal="center" vertical="center" wrapText="1"/>
    </xf>
    <xf numFmtId="0" fontId="67" fillId="16" borderId="0" xfId="0" applyFont="1" applyFill="1" applyBorder="1" applyAlignment="1">
      <alignment horizontal="center" vertical="center" wrapText="1"/>
    </xf>
    <xf numFmtId="0" fontId="0" fillId="16" borderId="51" xfId="0" applyFill="1" applyBorder="1" applyAlignment="1" applyProtection="1">
      <alignment horizontal="center" wrapText="1"/>
      <protection locked="0"/>
    </xf>
    <xf numFmtId="0" fontId="31" fillId="0" borderId="56" xfId="0" applyFont="1" applyBorder="1" applyAlignment="1">
      <alignment horizontal="left" vertical="center" wrapText="1"/>
    </xf>
    <xf numFmtId="0" fontId="31" fillId="0" borderId="9" xfId="0" applyFont="1" applyBorder="1" applyAlignment="1">
      <alignment horizontal="left" vertical="center" wrapText="1"/>
    </xf>
    <xf numFmtId="0" fontId="31" fillId="0" borderId="37" xfId="0" applyFont="1" applyBorder="1" applyAlignment="1">
      <alignment horizontal="left" vertical="center" wrapText="1"/>
    </xf>
    <xf numFmtId="0" fontId="52" fillId="0" borderId="4" xfId="0" applyFont="1" applyFill="1" applyBorder="1" applyAlignment="1">
      <alignment horizontal="center" vertical="center" wrapText="1"/>
    </xf>
    <xf numFmtId="0" fontId="52" fillId="0" borderId="63" xfId="0" applyFont="1" applyFill="1" applyBorder="1" applyAlignment="1">
      <alignment horizontal="center" vertical="center" wrapText="1"/>
    </xf>
    <xf numFmtId="0" fontId="52" fillId="0" borderId="5" xfId="0" applyFont="1" applyFill="1" applyBorder="1" applyAlignment="1">
      <alignment horizontal="center" vertical="center" wrapText="1"/>
    </xf>
    <xf numFmtId="49" fontId="36" fillId="16" borderId="51" xfId="0" applyNumberFormat="1" applyFont="1" applyFill="1" applyBorder="1" applyAlignment="1" applyProtection="1">
      <alignment horizontal="center" wrapText="1"/>
      <protection locked="0"/>
    </xf>
    <xf numFmtId="0" fontId="59" fillId="16" borderId="0" xfId="0" applyFont="1" applyFill="1" applyAlignment="1">
      <alignment horizontal="left" wrapText="1"/>
    </xf>
    <xf numFmtId="0" fontId="47" fillId="0" borderId="60" xfId="0" applyFont="1" applyBorder="1" applyAlignment="1">
      <alignment horizontal="center" vertical="center" wrapText="1"/>
    </xf>
    <xf numFmtId="0" fontId="47" fillId="0" borderId="62" xfId="0" applyFont="1" applyBorder="1" applyAlignment="1">
      <alignment horizontal="center" vertical="center" wrapText="1"/>
    </xf>
    <xf numFmtId="0" fontId="47" fillId="0" borderId="15" xfId="0" applyFont="1" applyBorder="1" applyAlignment="1">
      <alignment horizontal="center" vertical="center" wrapText="1"/>
    </xf>
    <xf numFmtId="0" fontId="31" fillId="0" borderId="56" xfId="0" applyFont="1" applyBorder="1" applyAlignment="1">
      <alignment horizontal="left" vertical="center"/>
    </xf>
    <xf numFmtId="0" fontId="31" fillId="0" borderId="9" xfId="0" applyFont="1" applyBorder="1" applyAlignment="1">
      <alignment horizontal="left" vertical="center"/>
    </xf>
    <xf numFmtId="0" fontId="31" fillId="0" borderId="37" xfId="0" applyFont="1" applyBorder="1" applyAlignment="1">
      <alignment horizontal="left" vertical="center"/>
    </xf>
    <xf numFmtId="0" fontId="33" fillId="0" borderId="60" xfId="0" applyFont="1" applyBorder="1" applyAlignment="1">
      <alignment horizontal="center" vertical="center" wrapText="1"/>
    </xf>
    <xf numFmtId="0" fontId="33" fillId="0" borderId="15" xfId="0" applyFont="1" applyBorder="1" applyAlignment="1">
      <alignment horizontal="center" vertical="center" wrapText="1"/>
    </xf>
    <xf numFmtId="0" fontId="17" fillId="0" borderId="56" xfId="0" applyFont="1" applyBorder="1" applyAlignment="1">
      <alignment horizontal="left" vertical="center" wrapText="1"/>
    </xf>
    <xf numFmtId="0" fontId="17" fillId="0" borderId="9" xfId="0" applyFont="1" applyBorder="1" applyAlignment="1">
      <alignment horizontal="left" vertical="center" wrapText="1"/>
    </xf>
    <xf numFmtId="0" fontId="17" fillId="0" borderId="37" xfId="0" applyFont="1" applyBorder="1" applyAlignment="1">
      <alignment horizontal="left" vertical="center" wrapText="1"/>
    </xf>
    <xf numFmtId="0" fontId="34" fillId="0" borderId="56" xfId="0" applyFont="1" applyBorder="1" applyAlignment="1">
      <alignment horizontal="left" vertical="center" wrapText="1"/>
    </xf>
    <xf numFmtId="0" fontId="34" fillId="0" borderId="9" xfId="0" applyFont="1" applyBorder="1" applyAlignment="1">
      <alignment horizontal="left" vertical="center" wrapText="1"/>
    </xf>
    <xf numFmtId="0" fontId="34" fillId="0" borderId="37" xfId="0" applyFont="1" applyBorder="1" applyAlignment="1">
      <alignment horizontal="left" vertical="center" wrapText="1"/>
    </xf>
    <xf numFmtId="0" fontId="31" fillId="0" borderId="56" xfId="0" applyFont="1" applyBorder="1" applyAlignment="1">
      <alignment horizontal="left" vertical="center" wrapText="1" indent="1"/>
    </xf>
    <xf numFmtId="0" fontId="31" fillId="0" borderId="9" xfId="0" applyFont="1" applyBorder="1" applyAlignment="1">
      <alignment horizontal="left" vertical="center" wrapText="1" indent="1"/>
    </xf>
    <xf numFmtId="0" fontId="31" fillId="0" borderId="37" xfId="0" applyFont="1" applyBorder="1" applyAlignment="1">
      <alignment horizontal="left" vertical="center" wrapText="1" indent="1"/>
    </xf>
    <xf numFmtId="0" fontId="31" fillId="0" borderId="56" xfId="0" applyFont="1" applyBorder="1" applyAlignment="1">
      <alignment horizontal="left" vertical="center" indent="1"/>
    </xf>
    <xf numFmtId="0" fontId="31" fillId="0" borderId="9" xfId="0" applyFont="1" applyBorder="1" applyAlignment="1">
      <alignment horizontal="left" vertical="center" indent="1"/>
    </xf>
    <xf numFmtId="0" fontId="31" fillId="0" borderId="37" xfId="0" applyFont="1" applyBorder="1" applyAlignment="1">
      <alignment horizontal="left" vertical="center" indent="1"/>
    </xf>
    <xf numFmtId="0" fontId="31" fillId="0" borderId="59" xfId="0" applyFont="1" applyBorder="1" applyAlignment="1">
      <alignment horizontal="left" vertical="center" indent="1"/>
    </xf>
    <xf numFmtId="0" fontId="31" fillId="0" borderId="51" xfId="0" applyFont="1" applyBorder="1" applyAlignment="1">
      <alignment horizontal="left" vertical="center" indent="1"/>
    </xf>
    <xf numFmtId="0" fontId="31" fillId="0" borderId="30" xfId="0" applyFont="1" applyBorder="1" applyAlignment="1">
      <alignment horizontal="left" vertical="center" indent="1"/>
    </xf>
    <xf numFmtId="0" fontId="65" fillId="0" borderId="26" xfId="0" applyFont="1" applyBorder="1" applyAlignment="1">
      <alignment horizontal="center" vertical="center" wrapText="1"/>
    </xf>
    <xf numFmtId="0" fontId="65" fillId="0" borderId="27" xfId="0" applyFont="1" applyBorder="1" applyAlignment="1">
      <alignment horizontal="center" vertical="center" wrapText="1"/>
    </xf>
    <xf numFmtId="1" fontId="3" fillId="11" borderId="8" xfId="0" applyNumberFormat="1" applyFont="1" applyFill="1" applyBorder="1" applyAlignment="1" applyProtection="1">
      <alignment horizontal="center" wrapText="1"/>
      <protection locked="0"/>
    </xf>
    <xf numFmtId="1" fontId="3" fillId="11" borderId="37" xfId="0" applyNumberFormat="1" applyFont="1" applyFill="1" applyBorder="1" applyAlignment="1" applyProtection="1">
      <alignment horizontal="center" wrapText="1"/>
      <protection locked="0"/>
    </xf>
    <xf numFmtId="0" fontId="30" fillId="0" borderId="59" xfId="0" applyFont="1" applyBorder="1" applyAlignment="1">
      <alignment horizontal="left" vertical="center" wrapText="1"/>
    </xf>
    <xf numFmtId="0" fontId="30" fillId="0" borderId="51" xfId="0" applyFont="1" applyBorder="1" applyAlignment="1">
      <alignment horizontal="left" vertical="center" wrapText="1"/>
    </xf>
    <xf numFmtId="0" fontId="30" fillId="0" borderId="30" xfId="0" applyFont="1" applyBorder="1" applyAlignment="1">
      <alignment horizontal="left" vertical="center" wrapText="1"/>
    </xf>
    <xf numFmtId="0" fontId="32" fillId="13" borderId="56" xfId="0" applyFont="1" applyFill="1" applyBorder="1" applyAlignment="1">
      <alignment horizontal="center" vertical="center" wrapText="1"/>
    </xf>
    <xf numFmtId="0" fontId="32" fillId="13" borderId="9" xfId="0" applyFont="1" applyFill="1" applyBorder="1" applyAlignment="1">
      <alignment horizontal="center" vertical="center" wrapText="1"/>
    </xf>
    <xf numFmtId="0" fontId="32" fillId="13" borderId="10" xfId="0" applyFont="1" applyFill="1" applyBorder="1" applyAlignment="1">
      <alignment horizontal="center" vertical="center" wrapText="1"/>
    </xf>
    <xf numFmtId="0" fontId="17" fillId="0" borderId="44" xfId="0" applyFont="1" applyBorder="1" applyAlignment="1">
      <alignment horizontal="left" vertical="center" wrapText="1"/>
    </xf>
    <xf numFmtId="0" fontId="17" fillId="0" borderId="31" xfId="0" applyFont="1" applyBorder="1" applyAlignment="1">
      <alignment horizontal="left" vertical="center" wrapText="1"/>
    </xf>
    <xf numFmtId="49" fontId="0" fillId="0" borderId="23" xfId="0" applyNumberFormat="1" applyFont="1" applyBorder="1" applyAlignment="1" applyProtection="1">
      <alignment horizontal="center" vertical="center" wrapText="1" readingOrder="1"/>
      <protection locked="0"/>
    </xf>
    <xf numFmtId="49" fontId="0" fillId="0" borderId="26" xfId="0" applyNumberFormat="1" applyFont="1" applyBorder="1" applyAlignment="1" applyProtection="1">
      <alignment horizontal="center" vertical="center" wrapText="1" readingOrder="1"/>
      <protection locked="0"/>
    </xf>
    <xf numFmtId="49" fontId="0" fillId="0" borderId="27" xfId="0" applyNumberFormat="1" applyFont="1" applyBorder="1" applyAlignment="1" applyProtection="1">
      <alignment horizontal="center" vertical="center" wrapText="1" readingOrder="1"/>
      <protection locked="0"/>
    </xf>
    <xf numFmtId="0" fontId="46" fillId="0" borderId="0" xfId="0" applyFont="1" applyAlignment="1">
      <alignment horizontal="left"/>
    </xf>
    <xf numFmtId="0" fontId="60" fillId="0" borderId="0" xfId="0" applyFont="1" applyAlignment="1">
      <alignment horizontal="left"/>
    </xf>
    <xf numFmtId="0" fontId="81" fillId="0" borderId="0" xfId="0" applyFont="1" applyFill="1" applyAlignment="1">
      <alignment horizontal="center"/>
    </xf>
  </cellXfs>
  <cellStyles count="3">
    <cellStyle name="Currency" xfId="1" builtinId="4"/>
    <cellStyle name="Hyperlink" xfId="2" builtinId="8"/>
    <cellStyle name="Normal" xfId="0" builtinId="0"/>
  </cellStyles>
  <dxfs count="140">
    <dxf>
      <font>
        <b/>
        <i val="0"/>
        <color rgb="FF0000CC"/>
      </font>
      <fill>
        <gradientFill type="path" left="0.5" right="0.5" top="0.5" bottom="0.5">
          <stop position="0">
            <color rgb="FFCCFFFF"/>
          </stop>
          <stop position="1">
            <color theme="3" tint="0.80001220740379042"/>
          </stop>
        </gradientFill>
      </fill>
    </dxf>
    <dxf>
      <font>
        <b/>
        <i val="0"/>
        <color rgb="FF700015"/>
      </font>
      <fill>
        <gradientFill type="path" left="0.5" right="0.5" top="0.5" bottom="0.5">
          <stop position="0">
            <color rgb="FFFFCCCC"/>
          </stop>
          <stop position="1">
            <color rgb="FFFF9999"/>
          </stop>
        </gradientFill>
      </fill>
    </dxf>
    <dxf>
      <font>
        <b/>
        <i val="0"/>
        <color auto="1"/>
      </font>
      <fill>
        <gradientFill type="path" left="0.5" right="0.5" top="0.5" bottom="0.5">
          <stop position="0">
            <color rgb="FFCCFFFF"/>
          </stop>
          <stop position="1">
            <color rgb="FF99CCFF"/>
          </stop>
        </gradientFill>
      </fill>
      <border>
        <left/>
        <right/>
        <top style="thin">
          <color auto="1"/>
        </top>
        <bottom/>
      </border>
    </dxf>
    <dxf>
      <font>
        <b/>
        <i val="0"/>
      </font>
      <fill>
        <gradientFill type="path" left="0.5" right="0.5" top="0.5" bottom="0.5">
          <stop position="0">
            <color theme="9" tint="0.59999389629810485"/>
          </stop>
          <stop position="1">
            <color rgb="FFFFB7B7"/>
          </stop>
        </gradientFill>
      </fill>
    </dxf>
    <dxf>
      <font>
        <b/>
        <i val="0"/>
        <color auto="1"/>
      </font>
      <fill>
        <patternFill>
          <bgColor rgb="FFCCFFFF"/>
        </patternFill>
      </fill>
      <border>
        <left style="thin">
          <color auto="1"/>
        </left>
        <right style="thin">
          <color auto="1"/>
        </right>
        <top style="thin">
          <color auto="1"/>
        </top>
        <bottom style="thin">
          <color auto="1"/>
        </bottom>
        <vertical/>
        <horizontal/>
      </border>
    </dxf>
    <dxf>
      <font>
        <b/>
        <i val="0"/>
        <color theme="9" tint="-0.749961851863155"/>
      </font>
      <fill>
        <patternFill>
          <bgColor rgb="FFFFCCCC"/>
        </patternFill>
      </fill>
      <border>
        <left style="thin">
          <color auto="1"/>
        </left>
        <right style="thin">
          <color auto="1"/>
        </right>
        <top style="thin">
          <color auto="1"/>
        </top>
        <bottom style="thin">
          <color auto="1"/>
        </bottom>
        <vertical/>
        <horizontal/>
      </border>
    </dxf>
    <dxf>
      <fill>
        <patternFill patternType="mediumGray">
          <bgColor theme="0" tint="-0.499984740745262"/>
        </patternFill>
      </fill>
    </dxf>
    <dxf>
      <font>
        <b/>
        <i val="0"/>
        <color auto="1"/>
      </font>
      <fill>
        <patternFill>
          <bgColor rgb="FFCCFFFF"/>
        </patternFill>
      </fill>
      <border>
        <left style="thin">
          <color auto="1"/>
        </left>
        <right style="thin">
          <color auto="1"/>
        </right>
        <top style="thin">
          <color auto="1"/>
        </top>
        <bottom style="thin">
          <color auto="1"/>
        </bottom>
        <vertical/>
        <horizontal/>
      </border>
    </dxf>
    <dxf>
      <font>
        <b/>
        <i val="0"/>
        <color theme="9" tint="-0.749961851863155"/>
      </font>
      <fill>
        <patternFill>
          <bgColor rgb="FFFFCCCC"/>
        </patternFill>
      </fill>
      <border>
        <left style="thin">
          <color auto="1"/>
        </left>
        <right style="thin">
          <color auto="1"/>
        </right>
        <top style="thin">
          <color auto="1"/>
        </top>
        <bottom style="thin">
          <color auto="1"/>
        </bottom>
        <vertical/>
        <horizontal/>
      </border>
    </dxf>
    <dxf>
      <font>
        <b/>
        <i val="0"/>
        <color auto="1"/>
      </font>
      <fill>
        <patternFill>
          <bgColor rgb="FFCCFFFF"/>
        </patternFill>
      </fill>
      <border>
        <left style="thin">
          <color auto="1"/>
        </left>
        <right style="thin">
          <color auto="1"/>
        </right>
        <top style="thin">
          <color auto="1"/>
        </top>
        <bottom style="thin">
          <color auto="1"/>
        </bottom>
        <vertical/>
        <horizontal/>
      </border>
    </dxf>
    <dxf>
      <fill>
        <patternFill>
          <bgColor theme="0" tint="-0.24994659260841701"/>
        </patternFill>
      </fill>
    </dxf>
    <dxf>
      <font>
        <b/>
        <i val="0"/>
        <color rgb="FF990033"/>
      </font>
      <fill>
        <patternFill>
          <bgColor rgb="FFFFCCCC"/>
        </patternFill>
      </fill>
    </dxf>
    <dxf>
      <font>
        <b/>
        <i/>
        <color rgb="FF0000FF"/>
      </font>
      <fill>
        <patternFill>
          <bgColor theme="4" tint="0.79998168889431442"/>
        </patternFill>
      </fill>
      <border>
        <left style="thin">
          <color auto="1"/>
        </left>
        <right style="thin">
          <color auto="1"/>
        </right>
        <top style="thin">
          <color auto="1"/>
        </top>
        <bottom style="thin">
          <color auto="1"/>
        </bottom>
        <vertical/>
        <horizontal/>
      </border>
    </dxf>
    <dxf>
      <font>
        <b/>
        <i/>
        <color rgb="FFC00000"/>
      </font>
      <fill>
        <patternFill>
          <bgColor rgb="FFFFE6CD"/>
        </patternFill>
      </fill>
    </dxf>
    <dxf>
      <font>
        <b/>
        <i val="0"/>
        <color auto="1"/>
      </font>
      <fill>
        <patternFill>
          <bgColor rgb="FFCCFFFF"/>
        </patternFill>
      </fill>
    </dxf>
    <dxf>
      <font>
        <b/>
        <i val="0"/>
        <color theme="9" tint="-0.749961851863155"/>
      </font>
      <fill>
        <patternFill>
          <bgColor rgb="FFFFCCCC"/>
        </patternFill>
      </fill>
    </dxf>
    <dxf>
      <font>
        <b/>
        <i val="0"/>
        <color rgb="FFFF0000"/>
      </font>
      <fill>
        <gradientFill type="path" left="0.5" right="0.5" top="0.5" bottom="0.5">
          <stop position="0">
            <color theme="0"/>
          </stop>
          <stop position="1">
            <color theme="5" tint="0.59999389629810485"/>
          </stop>
        </gradientFill>
      </fill>
      <border>
        <left style="thin">
          <color auto="1"/>
        </left>
        <right style="thin">
          <color auto="1"/>
        </right>
        <top style="thin">
          <color auto="1"/>
        </top>
        <bottom style="thin">
          <color auto="1"/>
        </bottom>
      </border>
    </dxf>
    <dxf>
      <fill>
        <patternFill>
          <bgColor rgb="FFFFFF00"/>
        </patternFill>
      </fill>
    </dxf>
    <dxf>
      <font>
        <color theme="0" tint="-0.34998626667073579"/>
      </font>
      <fill>
        <patternFill patternType="lightGray">
          <bgColor theme="0" tint="-0.24994659260841701"/>
        </patternFill>
      </fill>
    </dxf>
    <dxf>
      <font>
        <color theme="0" tint="-0.34998626667073579"/>
      </font>
      <fill>
        <patternFill patternType="lightGray">
          <bgColor theme="0" tint="-0.24994659260841701"/>
        </patternFill>
      </fill>
    </dxf>
    <dxf>
      <font>
        <color rgb="FF9C0006"/>
      </font>
    </dxf>
    <dxf>
      <font>
        <b/>
        <i val="0"/>
        <color rgb="FFFF0000"/>
      </font>
    </dxf>
    <dxf>
      <font>
        <color rgb="FF9C0006"/>
      </font>
    </dxf>
    <dxf>
      <font>
        <b/>
        <i val="0"/>
        <color rgb="FFFF0000"/>
      </font>
    </dxf>
    <dxf>
      <font>
        <color theme="0" tint="-0.34998626667073579"/>
      </font>
      <fill>
        <patternFill patternType="lightGray">
          <bgColor theme="0" tint="-0.24994659260841701"/>
        </patternFill>
      </fill>
    </dxf>
    <dxf>
      <font>
        <b/>
        <i val="0"/>
        <color rgb="FFFF0000"/>
      </font>
      <fill>
        <gradientFill type="path" left="0.5" right="0.5" top="0.5" bottom="0.5">
          <stop position="0">
            <color rgb="FFFFFFCC"/>
          </stop>
          <stop position="1">
            <color rgb="FFFFB7B7"/>
          </stop>
        </gradientFill>
      </fill>
      <border>
        <left style="thin">
          <color auto="1"/>
        </left>
        <right style="thin">
          <color auto="1"/>
        </right>
        <top style="thin">
          <color auto="1"/>
        </top>
        <bottom style="thin">
          <color auto="1"/>
        </bottom>
        <vertical/>
        <horizontal/>
      </border>
    </dxf>
    <dxf>
      <font>
        <b/>
        <i val="0"/>
        <color rgb="FFFF0000"/>
      </font>
      <fill>
        <gradientFill type="path" left="0.5" right="0.5" top="0.5" bottom="0.5">
          <stop position="0">
            <color rgb="FFFFFFCC"/>
          </stop>
          <stop position="1">
            <color rgb="FFFFB7B7"/>
          </stop>
        </gradientFill>
      </fill>
    </dxf>
    <dxf>
      <font>
        <b/>
        <i val="0"/>
        <color theme="5" tint="-0.24994659260841701"/>
      </font>
      <fill>
        <gradientFill type="path" left="0.5" right="0.5" top="0.5" bottom="0.5">
          <stop position="0">
            <color theme="9" tint="0.80001220740379042"/>
          </stop>
          <stop position="1">
            <color theme="9" tint="0.40000610370189521"/>
          </stop>
        </gradientFill>
      </fill>
      <border>
        <left style="thin">
          <color auto="1"/>
        </left>
        <right style="thin">
          <color auto="1"/>
        </right>
        <top style="thin">
          <color auto="1"/>
        </top>
        <bottom style="thin">
          <color auto="1"/>
        </bottom>
      </border>
    </dxf>
    <dxf>
      <font>
        <b/>
        <i val="0"/>
        <color rgb="FF003300"/>
      </font>
      <fill>
        <gradientFill type="path" left="0.5" right="0.5" top="0.5" bottom="0.5">
          <stop position="0">
            <color rgb="FFD5FFD5"/>
          </stop>
          <stop position="1">
            <color theme="6"/>
          </stop>
        </gradient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rgb="FFFF0000"/>
      </font>
    </dxf>
    <dxf>
      <font>
        <b/>
        <i val="0"/>
      </font>
      <fill>
        <patternFill patternType="none">
          <bgColor auto="1"/>
        </patternFill>
      </fill>
    </dxf>
    <dxf>
      <font>
        <color rgb="FF9C0006"/>
      </font>
      <fill>
        <patternFill>
          <bgColor rgb="FFFFC7CE"/>
        </patternFill>
      </fill>
    </dxf>
    <dxf>
      <font>
        <color auto="1"/>
      </font>
      <fill>
        <patternFill>
          <bgColor theme="8" tint="0.59996337778862885"/>
        </patternFill>
      </fill>
    </dxf>
    <dxf>
      <fill>
        <patternFill>
          <bgColor rgb="FFFF0000"/>
        </patternFill>
      </fill>
    </dxf>
    <dxf>
      <fill>
        <patternFill>
          <bgColor rgb="FFFF0000"/>
        </patternFill>
      </fill>
    </dxf>
    <dxf>
      <font>
        <b/>
        <i val="0"/>
        <color rgb="FFFF0000"/>
      </font>
    </dxf>
    <dxf>
      <font>
        <b/>
        <i val="0"/>
      </font>
      <fill>
        <patternFill patternType="none">
          <bgColor auto="1"/>
        </patternFill>
      </fill>
    </dxf>
    <dxf>
      <font>
        <color rgb="FF9C0006"/>
      </font>
      <fill>
        <patternFill>
          <bgColor rgb="FFFFC7CE"/>
        </patternFill>
      </fill>
    </dxf>
    <dxf>
      <font>
        <color rgb="FF9C0006"/>
      </font>
    </dxf>
    <dxf>
      <font>
        <b/>
        <i val="0"/>
        <color rgb="FFFF0000"/>
      </font>
    </dxf>
    <dxf>
      <font>
        <color rgb="FF9C0006"/>
      </font>
    </dxf>
    <dxf>
      <font>
        <b/>
        <i val="0"/>
        <color rgb="FFFF0000"/>
      </font>
    </dxf>
    <dxf>
      <font>
        <color theme="0" tint="-0.34998626667073579"/>
      </font>
      <fill>
        <patternFill patternType="lightGray">
          <bgColor theme="0" tint="-0.24994659260841701"/>
        </patternFill>
      </fill>
    </dxf>
    <dxf>
      <fill>
        <patternFill patternType="mediumGray">
          <bgColor theme="0" tint="-0.14996795556505021"/>
        </patternFill>
      </fill>
      <border>
        <left style="thin">
          <color auto="1"/>
        </left>
        <right style="thin">
          <color auto="1"/>
        </right>
        <top style="thin">
          <color auto="1"/>
        </top>
        <bottom style="thin">
          <color auto="1"/>
        </bottom>
      </border>
    </dxf>
    <dxf>
      <fill>
        <patternFill>
          <bgColor rgb="FFFFFF00"/>
        </patternFill>
      </fill>
    </dxf>
    <dxf>
      <fill>
        <patternFill patternType="mediumGray"/>
      </fill>
    </dxf>
    <dxf>
      <fill>
        <patternFill>
          <bgColor rgb="FFFFFF00"/>
        </patternFill>
      </fill>
    </dxf>
    <dxf>
      <fill>
        <patternFill>
          <bgColor rgb="FFFFFF00"/>
        </patternFill>
      </fill>
    </dxf>
    <dxf>
      <fill>
        <patternFill>
          <bgColor rgb="FFFFFF00"/>
        </patternFill>
      </fill>
    </dxf>
    <dxf>
      <font>
        <color theme="0" tint="-0.34998626667073579"/>
      </font>
      <fill>
        <patternFill patternType="lightGray">
          <bgColor theme="0" tint="-0.24994659260841701"/>
        </patternFill>
      </fill>
    </dxf>
    <dxf>
      <font>
        <color rgb="FF9C0006"/>
      </font>
    </dxf>
    <dxf>
      <font>
        <b/>
        <i val="0"/>
        <color rgb="FFFF0000"/>
      </font>
    </dxf>
    <dxf>
      <fill>
        <patternFill patternType="lightGray">
          <bgColor theme="0" tint="-0.24994659260841701"/>
        </patternFill>
      </fill>
    </dxf>
    <dxf>
      <fill>
        <patternFill>
          <bgColor rgb="FFFFFF00"/>
        </patternFill>
      </fill>
    </dxf>
    <dxf>
      <fill>
        <patternFill patternType="mediumGray">
          <bgColor theme="0" tint="-0.14996795556505021"/>
        </patternFill>
      </fill>
      <border>
        <left style="thin">
          <color auto="1"/>
        </left>
        <right style="thin">
          <color auto="1"/>
        </right>
        <top style="thin">
          <color auto="1"/>
        </top>
        <bottom style="thin">
          <color auto="1"/>
        </bottom>
      </border>
    </dxf>
    <dxf>
      <font>
        <b/>
        <i val="0"/>
        <color auto="1"/>
      </font>
      <fill>
        <patternFill>
          <bgColor rgb="FFFF0000"/>
        </patternFill>
      </fill>
      <border>
        <left style="thin">
          <color auto="1"/>
        </left>
        <right style="thin">
          <color auto="1"/>
        </right>
        <top style="thin">
          <color auto="1"/>
        </top>
        <bottom style="thin">
          <color auto="1"/>
        </bottom>
      </border>
    </dxf>
    <dxf>
      <font>
        <b/>
        <i val="0"/>
        <color rgb="FFFF0000"/>
      </font>
      <fill>
        <gradientFill type="path" left="0.5" right="0.5" top="0.5" bottom="0.5">
          <stop position="0">
            <color rgb="FFFFFFE5"/>
          </stop>
          <stop position="1">
            <color rgb="FFFF9999"/>
          </stop>
        </gradientFill>
      </fill>
      <border>
        <left style="thin">
          <color auto="1"/>
        </left>
        <right style="thin">
          <color auto="1"/>
        </right>
        <top style="thin">
          <color auto="1"/>
        </top>
        <bottom style="thin">
          <color auto="1"/>
        </bottom>
        <vertical/>
        <horizontal/>
      </border>
    </dxf>
    <dxf>
      <fill>
        <patternFill>
          <bgColor rgb="FFFFFF00"/>
        </patternFill>
      </fill>
    </dxf>
    <dxf>
      <fill>
        <patternFill patternType="mediumGray"/>
      </fill>
    </dxf>
    <dxf>
      <fill>
        <patternFill>
          <bgColor rgb="FFFFFF00"/>
        </patternFill>
      </fill>
    </dxf>
    <dxf>
      <fill>
        <patternFill>
          <bgColor rgb="FFFFFF00"/>
        </patternFill>
      </fill>
    </dxf>
    <dxf>
      <fill>
        <patternFill patternType="lightGray">
          <bgColor theme="0" tint="-0.24994659260841701"/>
        </patternFill>
      </fill>
    </dxf>
    <dxf>
      <fill>
        <patternFill>
          <bgColor rgb="FFFFFF00"/>
        </patternFill>
      </fill>
    </dxf>
    <dxf>
      <fill>
        <patternFill patternType="none">
          <bgColor auto="1"/>
        </patternFill>
      </fill>
    </dxf>
    <dxf>
      <fill>
        <patternFill>
          <bgColor rgb="FFFFFF00"/>
        </patternFill>
      </fill>
    </dxf>
    <dxf>
      <font>
        <b/>
        <i val="0"/>
        <color rgb="FFFF0000"/>
      </font>
      <fill>
        <gradientFill type="path" left="0.5" right="0.5" top="0.5" bottom="0.5">
          <stop position="0">
            <color theme="0"/>
          </stop>
          <stop position="1">
            <color theme="5" tint="0.59999389629810485"/>
          </stop>
        </gradientFill>
      </fill>
      <border>
        <left style="thin">
          <color auto="1"/>
        </left>
        <right style="thin">
          <color auto="1"/>
        </right>
        <top style="thin">
          <color auto="1"/>
        </top>
        <bottom style="thin">
          <color auto="1"/>
        </bottom>
      </border>
    </dxf>
    <dxf>
      <font>
        <color theme="0" tint="-0.34998626667073579"/>
      </font>
      <fill>
        <patternFill patternType="lightGray">
          <bgColor theme="0" tint="-0.24994659260841701"/>
        </patternFill>
      </fill>
    </dxf>
    <dxf>
      <font>
        <color theme="0" tint="-0.34998626667073579"/>
      </font>
      <fill>
        <patternFill patternType="lightGray">
          <bgColor theme="0" tint="-0.24994659260841701"/>
        </patternFill>
      </fill>
    </dxf>
    <dxf>
      <font>
        <color theme="0" tint="-0.34998626667073579"/>
      </font>
      <fill>
        <patternFill patternType="lightGray">
          <bgColor theme="0" tint="-0.24994659260841701"/>
        </patternFill>
      </fill>
    </dxf>
    <dxf>
      <font>
        <color theme="0" tint="-0.34998626667073579"/>
      </font>
      <fill>
        <patternFill patternType="lightGray">
          <bgColor theme="0" tint="-0.24994659260841701"/>
        </patternFill>
      </fill>
    </dxf>
    <dxf>
      <fill>
        <patternFill patternType="lightGray">
          <bgColor theme="0" tint="-0.14996795556505021"/>
        </patternFill>
      </fill>
    </dxf>
    <dxf>
      <fill>
        <patternFill patternType="lightGray">
          <bgColor theme="0" tint="-0.14996795556505021"/>
        </patternFill>
      </fill>
    </dxf>
    <dxf>
      <fill>
        <patternFill patternType="lightGray">
          <bgColor theme="0" tint="-0.14996795556505021"/>
        </patternFill>
      </fill>
    </dxf>
    <dxf>
      <fill>
        <patternFill patternType="lightGray">
          <bgColor theme="0" tint="-0.14996795556505021"/>
        </patternFill>
      </fill>
    </dxf>
    <dxf>
      <fill>
        <patternFill patternType="lightGray">
          <bgColor theme="0" tint="-0.14996795556505021"/>
        </patternFill>
      </fill>
    </dxf>
    <dxf>
      <fill>
        <patternFill patternType="lightGray">
          <bgColor theme="0" tint="-0.14996795556505021"/>
        </patternFill>
      </fill>
    </dxf>
    <dxf>
      <fill>
        <patternFill patternType="lightGray">
          <bgColor theme="0" tint="-0.14996795556505021"/>
        </patternFill>
      </fill>
    </dxf>
    <dxf>
      <fill>
        <patternFill patternType="lightGray">
          <bgColor theme="0" tint="-0.14996795556505021"/>
        </patternFill>
      </fill>
    </dxf>
    <dxf>
      <fill>
        <patternFill patternType="lightGray">
          <bgColor theme="0" tint="-0.14996795556505021"/>
        </patternFill>
      </fill>
    </dxf>
    <dxf>
      <fill>
        <patternFill patternType="lightGray">
          <bgColor theme="0" tint="-0.14996795556505021"/>
        </patternFill>
      </fill>
    </dxf>
    <dxf>
      <fill>
        <patternFill patternType="lightGray">
          <bgColor theme="0" tint="-0.14996795556505021"/>
        </patternFill>
      </fill>
    </dxf>
    <dxf>
      <fill>
        <patternFill patternType="lightGray">
          <bgColor theme="0" tint="-0.14996795556505021"/>
        </patternFill>
      </fill>
    </dxf>
    <dxf>
      <font>
        <color theme="0" tint="-0.34998626667073579"/>
      </font>
      <fill>
        <patternFill patternType="lightGray">
          <bgColor theme="0" tint="-0.24994659260841701"/>
        </patternFill>
      </fill>
    </dxf>
    <dxf>
      <fill>
        <patternFill patternType="lightGray">
          <bgColor theme="0" tint="-0.14996795556505021"/>
        </patternFill>
      </fill>
    </dxf>
    <dxf>
      <fill>
        <patternFill patternType="lightGray">
          <bgColor theme="0" tint="-0.14996795556505021"/>
        </patternFill>
      </fill>
    </dxf>
    <dxf>
      <fill>
        <patternFill patternType="lightGray">
          <bgColor theme="0" tint="-0.14996795556505021"/>
        </patternFill>
      </fill>
    </dxf>
    <dxf>
      <fill>
        <patternFill patternType="lightGray">
          <bgColor theme="0" tint="-0.14996795556505021"/>
        </patternFill>
      </fill>
    </dxf>
    <dxf>
      <fill>
        <patternFill patternType="lightGray">
          <bgColor theme="0" tint="-0.14996795556505021"/>
        </patternFill>
      </fill>
    </dxf>
    <dxf>
      <fill>
        <patternFill patternType="lightGray">
          <bgColor theme="0" tint="-0.14996795556505021"/>
        </patternFill>
      </fill>
    </dxf>
    <dxf>
      <fill>
        <patternFill patternType="lightGray">
          <bgColor theme="0" tint="-0.14996795556505021"/>
        </patternFill>
      </fill>
    </dxf>
    <dxf>
      <fill>
        <patternFill patternType="lightGray">
          <bgColor theme="0" tint="-0.14996795556505021"/>
        </patternFill>
      </fill>
    </dxf>
    <dxf>
      <font>
        <color theme="0" tint="-0.34998626667073579"/>
      </font>
      <fill>
        <patternFill patternType="lightGray">
          <bgColor theme="0" tint="-0.24994659260841701"/>
        </patternFill>
      </fill>
    </dxf>
    <dxf>
      <font>
        <color theme="0" tint="-0.34998626667073579"/>
      </font>
      <fill>
        <patternFill patternType="lightGray">
          <bgColor theme="0" tint="-0.24994659260841701"/>
        </patternFill>
      </fill>
    </dxf>
    <dxf>
      <fill>
        <patternFill>
          <bgColor rgb="FFFFFF00"/>
        </patternFill>
      </fill>
    </dxf>
    <dxf>
      <fill>
        <patternFill patternType="none">
          <bgColor auto="1"/>
        </patternFill>
      </fill>
    </dxf>
    <dxf>
      <fill>
        <patternFill patternType="lightGray">
          <bgColor theme="0" tint="-0.14996795556505021"/>
        </patternFill>
      </fill>
    </dxf>
    <dxf>
      <fill>
        <patternFill patternType="lightGray">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59996337778862885"/>
        </patternFill>
      </fill>
    </dxf>
    <dxf>
      <fill>
        <patternFill>
          <bgColor rgb="FFFF0000"/>
        </patternFill>
      </fill>
    </dxf>
    <dxf>
      <font>
        <b/>
        <i val="0"/>
        <color theme="5" tint="-0.24994659260841701"/>
      </font>
      <fill>
        <gradientFill type="path" left="0.5" right="0.5" top="0.5" bottom="0.5">
          <stop position="0">
            <color theme="9" tint="0.80001220740379042"/>
          </stop>
          <stop position="1">
            <color theme="9" tint="0.40000610370189521"/>
          </stop>
        </gradientFill>
      </fill>
      <border>
        <left style="thin">
          <color auto="1"/>
        </left>
        <right style="thin">
          <color auto="1"/>
        </right>
        <top style="thin">
          <color auto="1"/>
        </top>
        <bottom style="thin">
          <color auto="1"/>
        </bottom>
      </border>
    </dxf>
    <dxf>
      <fill>
        <patternFill>
          <bgColor rgb="FFFFFF00"/>
        </patternFill>
      </fill>
    </dxf>
    <dxf>
      <fill>
        <patternFill patternType="lightGray">
          <bgColor theme="0" tint="-0.14996795556505021"/>
        </patternFill>
      </fill>
    </dxf>
    <dxf>
      <fill>
        <patternFill patternType="lightGray">
          <bgColor theme="0" tint="-0.14996795556505021"/>
        </patternFill>
      </fill>
    </dxf>
    <dxf>
      <fill>
        <patternFill patternType="lightGray">
          <bgColor theme="0" tint="-0.14996795556505021"/>
        </patternFill>
      </fill>
    </dxf>
    <dxf>
      <fill>
        <patternFill patternType="lightGray">
          <bgColor theme="0" tint="-0.14996795556505021"/>
        </patternFill>
      </fill>
    </dxf>
    <dxf>
      <fill>
        <patternFill patternType="lightGray">
          <bgColor theme="0" tint="-0.14996795556505021"/>
        </patternFill>
      </fill>
    </dxf>
    <dxf>
      <fill>
        <patternFill patternType="lightGray">
          <bgColor theme="0" tint="-0.14996795556505021"/>
        </patternFill>
      </fill>
    </dxf>
    <dxf>
      <fill>
        <patternFill patternType="lightGray">
          <bgColor theme="0" tint="-0.14996795556505021"/>
        </patternFill>
      </fill>
    </dxf>
    <dxf>
      <fill>
        <patternFill patternType="lightGray">
          <bgColor theme="0" tint="-0.14996795556505021"/>
        </patternFill>
      </fill>
    </dxf>
    <dxf>
      <font>
        <b/>
        <i val="0"/>
      </font>
      <fill>
        <patternFill>
          <bgColor rgb="FFFFCCCC"/>
        </patternFill>
      </fill>
    </dxf>
    <dxf>
      <font>
        <b/>
        <i val="0"/>
      </font>
      <fill>
        <patternFill>
          <bgColor rgb="FFFFCCCC"/>
        </patternFill>
      </fill>
    </dxf>
    <dxf>
      <font>
        <b/>
        <i val="0"/>
        <color rgb="FFFF0000"/>
      </font>
      <fill>
        <gradientFill type="path" left="0.5" right="0.5" top="0.5" bottom="0.5">
          <stop position="0">
            <color rgb="FFFFFFCC"/>
          </stop>
          <stop position="1">
            <color rgb="FFFFB7B7"/>
          </stop>
        </gradientFill>
      </fill>
    </dxf>
    <dxf>
      <font>
        <b/>
        <i val="0"/>
        <color rgb="FF003300"/>
      </font>
      <fill>
        <gradientFill type="path" left="0.5" right="0.5" top="0.5" bottom="0.5">
          <stop position="0">
            <color rgb="FFD5FFD5"/>
          </stop>
          <stop position="1">
            <color theme="6"/>
          </stop>
        </gradientFill>
      </fill>
    </dxf>
    <dxf>
      <fill>
        <patternFill patternType="lightGray">
          <bgColor theme="0" tint="-0.14996795556505021"/>
        </patternFill>
      </fill>
    </dxf>
    <dxf>
      <fill>
        <patternFill patternType="lightGray">
          <bgColor theme="0" tint="-0.14996795556505021"/>
        </patternFill>
      </fill>
    </dxf>
    <dxf>
      <fill>
        <patternFill patternType="lightGray">
          <bgColor theme="0" tint="-0.14996795556505021"/>
        </patternFill>
      </fill>
    </dxf>
    <dxf>
      <fill>
        <patternFill patternType="lightGray">
          <bgColor theme="0" tint="-0.14996795556505021"/>
        </patternFill>
      </fill>
    </dxf>
    <dxf>
      <font>
        <color rgb="FF9C0006"/>
      </font>
    </dxf>
    <dxf>
      <font>
        <b/>
        <i val="0"/>
        <color rgb="FFFF0000"/>
      </font>
    </dxf>
    <dxf>
      <fill>
        <patternFill patternType="lightGray">
          <bgColor theme="0" tint="-0.24994659260841701"/>
        </patternFill>
      </fill>
    </dxf>
    <dxf>
      <fill>
        <patternFill>
          <bgColor rgb="FFFFFF00"/>
        </patternFill>
      </fill>
    </dxf>
    <dxf>
      <font>
        <color rgb="FF9C0006"/>
      </font>
      <fill>
        <patternFill>
          <bgColor rgb="FFFFC7CE"/>
        </patternFill>
      </fill>
    </dxf>
    <dxf>
      <font>
        <b/>
        <i val="0"/>
        <color rgb="FFFF0000"/>
      </font>
    </dxf>
    <dxf>
      <font>
        <b/>
        <i val="0"/>
      </font>
      <fill>
        <patternFill patternType="none">
          <bgColor auto="1"/>
        </patternFill>
      </fill>
    </dxf>
    <dxf>
      <font>
        <color rgb="FF9C0006"/>
      </font>
      <fill>
        <patternFill>
          <bgColor rgb="FFFFC7CE"/>
        </patternFill>
      </fill>
    </dxf>
    <dxf>
      <font>
        <b/>
        <i val="0"/>
        <color rgb="FFFF0000"/>
      </font>
    </dxf>
    <dxf>
      <font>
        <b/>
        <i val="0"/>
      </font>
      <fill>
        <patternFill patternType="none">
          <bgColor auto="1"/>
        </patternFill>
      </fill>
    </dxf>
    <dxf>
      <font>
        <color rgb="FF9C0006"/>
      </font>
      <fill>
        <patternFill>
          <bgColor rgb="FFFFC7CE"/>
        </patternFill>
      </fill>
    </dxf>
  </dxfs>
  <tableStyles count="0" defaultTableStyle="TableStyleMedium2" defaultPivotStyle="PivotStyleLight16"/>
  <colors>
    <mruColors>
      <color rgb="FF0000CC"/>
      <color rgb="FFFFFFE5"/>
      <color rgb="FFFF9999"/>
      <color rgb="FFFFEFEF"/>
      <color rgb="FFDDE9F7"/>
      <color rgb="FFFFFF00"/>
      <color rgb="FFFFFF66"/>
      <color rgb="FFB2B2B2"/>
      <color rgb="FFCCFFFF"/>
      <color rgb="FF7000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2.JPG"/></Relationships>
</file>

<file path=xl/drawings/drawing1.xml><?xml version="1.0" encoding="utf-8"?>
<xdr:wsDr xmlns:xdr="http://schemas.openxmlformats.org/drawingml/2006/spreadsheetDrawing" xmlns:a="http://schemas.openxmlformats.org/drawingml/2006/main">
  <xdr:twoCellAnchor editAs="oneCell">
    <xdr:from>
      <xdr:col>1</xdr:col>
      <xdr:colOff>29308</xdr:colOff>
      <xdr:row>1</xdr:row>
      <xdr:rowOff>109904</xdr:rowOff>
    </xdr:from>
    <xdr:to>
      <xdr:col>2</xdr:col>
      <xdr:colOff>490904</xdr:colOff>
      <xdr:row>5</xdr:row>
      <xdr:rowOff>111532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24558" y="183173"/>
          <a:ext cx="1985596" cy="52916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411480</xdr:colOff>
          <xdr:row>3</xdr:row>
          <xdr:rowOff>160020</xdr:rowOff>
        </xdr:from>
        <xdr:to>
          <xdr:col>17</xdr:col>
          <xdr:colOff>251460</xdr:colOff>
          <xdr:row>7</xdr:row>
          <xdr:rowOff>38100</xdr:rowOff>
        </xdr:to>
        <xdr:sp macro="" textlink="">
          <xdr:nvSpPr>
            <xdr:cNvPr id="18450" name="Button 18" hidden="1">
              <a:extLst>
                <a:ext uri="{63B3BB69-23CF-44E3-9099-C40C66FF867C}">
                  <a14:compatExt spid="_x0000_s18450"/>
                </a:ext>
                <a:ext uri="{FF2B5EF4-FFF2-40B4-BE49-F238E27FC236}">
                  <a16:creationId xmlns:a16="http://schemas.microsoft.com/office/drawing/2014/main" id="{00000000-0008-0000-0100-0000124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FF"/>
                  </a:solidFill>
                  <a:latin typeface="Calibri"/>
                  <a:cs typeface="Calibri"/>
                </a:rPr>
                <a:t>CLEAR FORM</a:t>
              </a:r>
            </a:p>
          </xdr:txBody>
        </xdr:sp>
        <xdr:clientData fPrintsWithSheet="0"/>
      </xdr:twoCellAnchor>
    </mc:Choice>
    <mc:Fallback/>
  </mc:AlternateContent>
  <xdr:twoCellAnchor editAs="oneCell">
    <xdr:from>
      <xdr:col>1</xdr:col>
      <xdr:colOff>63500</xdr:colOff>
      <xdr:row>1</xdr:row>
      <xdr:rowOff>63500</xdr:rowOff>
    </xdr:from>
    <xdr:to>
      <xdr:col>1</xdr:col>
      <xdr:colOff>2232560</xdr:colOff>
      <xdr:row>1</xdr:row>
      <xdr:rowOff>592667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a:stretch>
          <a:fillRect/>
        </a:stretch>
      </xdr:blipFill>
      <xdr:spPr>
        <a:xfrm>
          <a:off x="169333" y="137583"/>
          <a:ext cx="2169060" cy="52916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335280</xdr:colOff>
          <xdr:row>3</xdr:row>
          <xdr:rowOff>175260</xdr:rowOff>
        </xdr:from>
        <xdr:to>
          <xdr:col>16</xdr:col>
          <xdr:colOff>327660</xdr:colOff>
          <xdr:row>7</xdr:row>
          <xdr:rowOff>30480</xdr:rowOff>
        </xdr:to>
        <xdr:sp macro="" textlink="">
          <xdr:nvSpPr>
            <xdr:cNvPr id="6154" name="Button 10" descr="CLEAR FORM" hidden="1">
              <a:extLst>
                <a:ext uri="{63B3BB69-23CF-44E3-9099-C40C66FF867C}">
                  <a14:compatExt spid="_x0000_s6154"/>
                </a:ext>
                <a:ext uri="{FF2B5EF4-FFF2-40B4-BE49-F238E27FC236}">
                  <a16:creationId xmlns:a16="http://schemas.microsoft.com/office/drawing/2014/main" id="{00000000-0008-0000-0200-00000A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FF"/>
                  </a:solidFill>
                  <a:latin typeface="Calibri"/>
                  <a:cs typeface="Calibri"/>
                </a:rPr>
                <a:t>CLEAR FORM</a:t>
              </a:r>
            </a:p>
          </xdr:txBody>
        </xdr:sp>
        <xdr:clientData fPrintsWithSheet="0"/>
      </xdr:twoCellAnchor>
    </mc:Choice>
    <mc:Fallback/>
  </mc:AlternateContent>
  <xdr:twoCellAnchor editAs="oneCell">
    <xdr:from>
      <xdr:col>1</xdr:col>
      <xdr:colOff>63501</xdr:colOff>
      <xdr:row>1</xdr:row>
      <xdr:rowOff>52917</xdr:rowOff>
    </xdr:from>
    <xdr:to>
      <xdr:col>1</xdr:col>
      <xdr:colOff>2232561</xdr:colOff>
      <xdr:row>1</xdr:row>
      <xdr:rowOff>582084</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stretch>
          <a:fillRect/>
        </a:stretch>
      </xdr:blipFill>
      <xdr:spPr>
        <a:xfrm>
          <a:off x="232834" y="127000"/>
          <a:ext cx="2169060" cy="52916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480060</xdr:colOff>
          <xdr:row>1</xdr:row>
          <xdr:rowOff>7620</xdr:rowOff>
        </xdr:from>
        <xdr:to>
          <xdr:col>9</xdr:col>
          <xdr:colOff>525780</xdr:colOff>
          <xdr:row>3</xdr:row>
          <xdr:rowOff>121920</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300-000003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1" i="0" u="none" strike="noStrike" baseline="0">
                  <a:solidFill>
                    <a:srgbClr val="333399"/>
                  </a:solidFill>
                  <a:latin typeface="Calibri"/>
                  <a:cs typeface="Calibri"/>
                </a:rPr>
                <a:t>CLEAR FORM</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180975</xdr:colOff>
      <xdr:row>0</xdr:row>
      <xdr:rowOff>123825</xdr:rowOff>
    </xdr:from>
    <xdr:to>
      <xdr:col>13</xdr:col>
      <xdr:colOff>81790</xdr:colOff>
      <xdr:row>34</xdr:row>
      <xdr:rowOff>9525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180975" y="123825"/>
          <a:ext cx="7825615" cy="6362700"/>
        </a:xfrm>
        <a:prstGeom prst="rect">
          <a:avLst/>
        </a:prstGeom>
        <a:noFill/>
        <a:ln>
          <a:solidFill>
            <a:schemeClr val="tx1"/>
          </a:solid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hyperlink" Target="https://www.fema.gov/flood-insurance-manual" TargetMode="External"/><Relationship Id="rId2" Type="http://schemas.openxmlformats.org/officeDocument/2006/relationships/hyperlink" Target="https://www.floir.com/CompanySearch/" TargetMode="External"/><Relationship Id="rId1" Type="http://schemas.openxmlformats.org/officeDocument/2006/relationships/hyperlink" Target="https://www.oci.ga.gov/Insurers/CompanySearch.aspx" TargetMode="External"/><Relationship Id="rId6" Type="http://schemas.openxmlformats.org/officeDocument/2006/relationships/printerSettings" Target="../printerSettings/printerSettings5.bin"/><Relationship Id="rId5" Type="http://schemas.openxmlformats.org/officeDocument/2006/relationships/hyperlink" Target="https://sbs.naic.org/solar-external-lookup/" TargetMode="External"/><Relationship Id="rId4" Type="http://schemas.openxmlformats.org/officeDocument/2006/relationships/hyperlink" Target="https://www.naic.org/cis_refined_results.htm?INSURANCE_TYPE=(All)&amp;COCODE=10750&amp;REALM=PROD"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F0"/>
    <pageSetUpPr fitToPage="1"/>
  </sheetPr>
  <dimension ref="B1:C32"/>
  <sheetViews>
    <sheetView zoomScale="130" zoomScaleNormal="130" workbookViewId="0">
      <pane ySplit="7" topLeftCell="A8" activePane="bottomLeft" state="frozen"/>
      <selection pane="bottomLeft" activeCell="B2" sqref="B2:C7"/>
    </sheetView>
  </sheetViews>
  <sheetFormatPr defaultRowHeight="14.4" x14ac:dyDescent="0.3"/>
  <cols>
    <col min="1" max="1" width="1.44140625" customWidth="1"/>
    <col min="2" max="2" width="22.88671875" customWidth="1"/>
    <col min="3" max="3" width="110" customWidth="1"/>
  </cols>
  <sheetData>
    <row r="1" spans="2:3" ht="6" customHeight="1" thickBot="1" x14ac:dyDescent="0.35"/>
    <row r="2" spans="2:3" ht="11.1" customHeight="1" x14ac:dyDescent="0.3">
      <c r="B2" s="309" t="s">
        <v>109</v>
      </c>
      <c r="C2" s="310"/>
    </row>
    <row r="3" spans="2:3" ht="11.1" customHeight="1" x14ac:dyDescent="0.3">
      <c r="B3" s="311"/>
      <c r="C3" s="312"/>
    </row>
    <row r="4" spans="2:3" ht="11.1" customHeight="1" x14ac:dyDescent="0.3">
      <c r="B4" s="311"/>
      <c r="C4" s="312"/>
    </row>
    <row r="5" spans="2:3" ht="11.1" customHeight="1" x14ac:dyDescent="0.3">
      <c r="B5" s="311"/>
      <c r="C5" s="312"/>
    </row>
    <row r="6" spans="2:3" ht="11.1" customHeight="1" x14ac:dyDescent="0.3">
      <c r="B6" s="311"/>
      <c r="C6" s="312"/>
    </row>
    <row r="7" spans="2:3" ht="11.1" customHeight="1" thickBot="1" x14ac:dyDescent="0.35">
      <c r="B7" s="313"/>
      <c r="C7" s="314"/>
    </row>
    <row r="8" spans="2:3" ht="15.6" x14ac:dyDescent="0.3">
      <c r="B8" s="99" t="s">
        <v>110</v>
      </c>
      <c r="C8" s="100" t="s">
        <v>109</v>
      </c>
    </row>
    <row r="9" spans="2:3" ht="79.8" x14ac:dyDescent="0.3">
      <c r="B9" s="99" t="s">
        <v>111</v>
      </c>
      <c r="C9" s="101" t="s">
        <v>112</v>
      </c>
    </row>
    <row r="10" spans="2:3" ht="79.8" x14ac:dyDescent="0.3">
      <c r="B10" s="102" t="s">
        <v>113</v>
      </c>
      <c r="C10" s="101" t="s">
        <v>170</v>
      </c>
    </row>
    <row r="11" spans="2:3" ht="39" customHeight="1" thickBot="1" x14ac:dyDescent="0.35">
      <c r="B11" s="103" t="s">
        <v>179</v>
      </c>
      <c r="C11" s="104" t="s">
        <v>171</v>
      </c>
    </row>
    <row r="12" spans="2:3" ht="16.2" thickBot="1" x14ac:dyDescent="0.35">
      <c r="B12" s="105" t="s">
        <v>114</v>
      </c>
      <c r="C12" s="105"/>
    </row>
    <row r="13" spans="2:3" ht="165.6" x14ac:dyDescent="0.3">
      <c r="B13" s="106" t="s">
        <v>0</v>
      </c>
      <c r="C13" s="107" t="s">
        <v>175</v>
      </c>
    </row>
    <row r="14" spans="2:3" ht="124.2" x14ac:dyDescent="0.3">
      <c r="B14" s="106" t="s">
        <v>5</v>
      </c>
      <c r="C14" s="107" t="s">
        <v>120</v>
      </c>
    </row>
    <row r="15" spans="2:3" ht="47.4" customHeight="1" x14ac:dyDescent="0.3">
      <c r="B15" s="106" t="s">
        <v>91</v>
      </c>
      <c r="C15" s="107" t="s">
        <v>115</v>
      </c>
    </row>
    <row r="16" spans="2:3" ht="207" x14ac:dyDescent="0.3">
      <c r="B16" s="106" t="s">
        <v>89</v>
      </c>
      <c r="C16" s="107" t="s">
        <v>174</v>
      </c>
    </row>
    <row r="17" spans="2:3" ht="179.4" x14ac:dyDescent="0.3">
      <c r="B17" s="106" t="s">
        <v>90</v>
      </c>
      <c r="C17" s="107" t="s">
        <v>173</v>
      </c>
    </row>
    <row r="18" spans="2:3" ht="138" x14ac:dyDescent="0.3">
      <c r="B18" s="106" t="s">
        <v>172</v>
      </c>
      <c r="C18" s="107" t="s">
        <v>178</v>
      </c>
    </row>
    <row r="19" spans="2:3" ht="27.6" x14ac:dyDescent="0.3">
      <c r="B19" s="106" t="s">
        <v>85</v>
      </c>
      <c r="C19" s="108" t="s">
        <v>176</v>
      </c>
    </row>
    <row r="20" spans="2:3" ht="31.5" customHeight="1" x14ac:dyDescent="0.3">
      <c r="B20" s="106" t="s">
        <v>22</v>
      </c>
      <c r="C20" s="107" t="s">
        <v>116</v>
      </c>
    </row>
    <row r="21" spans="2:3" ht="124.2" x14ac:dyDescent="0.3">
      <c r="B21" s="106" t="s">
        <v>30</v>
      </c>
      <c r="C21" s="107" t="s">
        <v>177</v>
      </c>
    </row>
    <row r="22" spans="2:3" ht="150.75" customHeight="1" x14ac:dyDescent="0.3">
      <c r="B22" s="106" t="s">
        <v>84</v>
      </c>
      <c r="C22" s="107" t="s">
        <v>228</v>
      </c>
    </row>
    <row r="23" spans="2:3" ht="15" thickBot="1" x14ac:dyDescent="0.35">
      <c r="B23" s="109"/>
      <c r="C23" s="110"/>
    </row>
    <row r="24" spans="2:3" ht="16.2" thickBot="1" x14ac:dyDescent="0.35">
      <c r="B24" s="105" t="s">
        <v>117</v>
      </c>
      <c r="C24" s="105"/>
    </row>
    <row r="25" spans="2:3" ht="164.4" customHeight="1" x14ac:dyDescent="0.3">
      <c r="B25" s="106" t="s">
        <v>0</v>
      </c>
      <c r="C25" s="107" t="s">
        <v>180</v>
      </c>
    </row>
    <row r="26" spans="2:3" ht="144" x14ac:dyDescent="0.3">
      <c r="B26" s="106" t="s">
        <v>5</v>
      </c>
      <c r="C26" s="111" t="s">
        <v>181</v>
      </c>
    </row>
    <row r="27" spans="2:3" ht="187.2" x14ac:dyDescent="0.3">
      <c r="B27" s="112" t="s">
        <v>18</v>
      </c>
      <c r="C27" s="111" t="s">
        <v>182</v>
      </c>
    </row>
    <row r="28" spans="2:3" ht="28.8" x14ac:dyDescent="0.3">
      <c r="B28" s="112" t="s">
        <v>24</v>
      </c>
      <c r="C28" s="108" t="s">
        <v>118</v>
      </c>
    </row>
    <row r="29" spans="2:3" ht="28.8" x14ac:dyDescent="0.3">
      <c r="B29" s="112" t="s">
        <v>22</v>
      </c>
      <c r="C29" s="107" t="s">
        <v>116</v>
      </c>
    </row>
    <row r="30" spans="2:3" ht="132" customHeight="1" x14ac:dyDescent="0.3">
      <c r="B30" s="112" t="s">
        <v>30</v>
      </c>
      <c r="C30" s="107" t="s">
        <v>184</v>
      </c>
    </row>
    <row r="31" spans="2:3" ht="153" customHeight="1" x14ac:dyDescent="0.3">
      <c r="B31" s="112" t="s">
        <v>108</v>
      </c>
      <c r="C31" s="107" t="s">
        <v>229</v>
      </c>
    </row>
    <row r="32" spans="2:3" ht="115.2" x14ac:dyDescent="0.3">
      <c r="B32" s="201" t="s">
        <v>183</v>
      </c>
      <c r="C32" s="202" t="s">
        <v>185</v>
      </c>
    </row>
  </sheetData>
  <sheetProtection selectLockedCells="1"/>
  <mergeCells count="1">
    <mergeCell ref="B2:C7"/>
  </mergeCells>
  <printOptions horizontalCentered="1"/>
  <pageMargins left="0" right="0" top="0.5" bottom="0.5" header="0.3" footer="0.3"/>
  <pageSetup scale="75" fitToHeight="0"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pageSetUpPr fitToPage="1"/>
  </sheetPr>
  <dimension ref="A1:R81"/>
  <sheetViews>
    <sheetView tabSelected="1" zoomScale="70" zoomScaleNormal="70" workbookViewId="0">
      <selection activeCell="C5" sqref="C5:I5"/>
    </sheetView>
  </sheetViews>
  <sheetFormatPr defaultRowHeight="14.4" x14ac:dyDescent="0.3"/>
  <cols>
    <col min="1" max="1" width="1.5546875" customWidth="1"/>
    <col min="2" max="2" width="62.6640625" style="37" customWidth="1"/>
    <col min="3" max="3" width="17.5546875" customWidth="1"/>
    <col min="4" max="4" width="18.109375" customWidth="1"/>
    <col min="5" max="5" width="18.5546875" customWidth="1"/>
    <col min="6" max="6" width="17.6640625" customWidth="1"/>
    <col min="7" max="7" width="17.44140625" customWidth="1"/>
    <col min="8" max="8" width="17.88671875" customWidth="1"/>
    <col min="9" max="9" width="18" customWidth="1"/>
    <col min="10" max="11" width="18.109375" customWidth="1"/>
    <col min="12" max="12" width="16.44140625" customWidth="1"/>
    <col min="13" max="13" width="4.6640625" style="173" customWidth="1"/>
    <col min="17" max="17" width="7" customWidth="1"/>
  </cols>
  <sheetData>
    <row r="1" spans="2:18" ht="6" customHeight="1" thickBot="1" x14ac:dyDescent="0.35"/>
    <row r="2" spans="2:18" ht="56.4" customHeight="1" thickBot="1" x14ac:dyDescent="0.35">
      <c r="B2" s="315" t="s">
        <v>106</v>
      </c>
      <c r="C2" s="316"/>
      <c r="D2" s="316"/>
      <c r="E2" s="316"/>
      <c r="F2" s="316"/>
      <c r="G2" s="316"/>
      <c r="H2" s="316"/>
      <c r="I2" s="316"/>
      <c r="J2" s="316"/>
      <c r="K2" s="316"/>
      <c r="L2" s="317"/>
    </row>
    <row r="3" spans="2:18" ht="16.2" thickBot="1" x14ac:dyDescent="0.35">
      <c r="B3" s="318" t="s">
        <v>0</v>
      </c>
      <c r="C3" s="319"/>
      <c r="D3" s="319"/>
      <c r="E3" s="319"/>
      <c r="F3" s="319"/>
      <c r="G3" s="319"/>
      <c r="H3" s="319"/>
      <c r="I3" s="319"/>
      <c r="J3" s="319"/>
      <c r="K3" s="319"/>
      <c r="L3" s="320"/>
      <c r="N3" s="216"/>
      <c r="O3" s="216"/>
      <c r="P3" s="216"/>
      <c r="Q3" s="216"/>
      <c r="R3" s="216"/>
    </row>
    <row r="4" spans="2:18" ht="16.2" thickBot="1" x14ac:dyDescent="0.35">
      <c r="B4" s="30" t="s">
        <v>1</v>
      </c>
      <c r="C4" s="31"/>
      <c r="D4" s="31"/>
      <c r="E4" s="31"/>
      <c r="F4" s="31"/>
      <c r="G4" s="31"/>
      <c r="H4" s="31"/>
      <c r="I4" s="31"/>
      <c r="J4" s="331" t="s">
        <v>107</v>
      </c>
      <c r="K4" s="332"/>
      <c r="L4" s="333"/>
      <c r="N4" s="216"/>
      <c r="O4" s="216"/>
      <c r="P4" s="216"/>
      <c r="Q4" s="216"/>
      <c r="R4" s="216"/>
    </row>
    <row r="5" spans="2:18" ht="15.6" x14ac:dyDescent="0.3">
      <c r="B5" s="81" t="s">
        <v>2</v>
      </c>
      <c r="C5" s="324"/>
      <c r="D5" s="325"/>
      <c r="E5" s="325"/>
      <c r="F5" s="325"/>
      <c r="G5" s="325"/>
      <c r="H5" s="325"/>
      <c r="I5" s="325"/>
      <c r="J5" s="81" t="s">
        <v>103</v>
      </c>
      <c r="K5" s="324"/>
      <c r="L5" s="326"/>
      <c r="N5" s="216"/>
      <c r="O5" s="216"/>
      <c r="P5" s="216"/>
      <c r="Q5" s="216"/>
      <c r="R5" s="216"/>
    </row>
    <row r="6" spans="2:18" ht="15.6" x14ac:dyDescent="0.3">
      <c r="B6" s="81" t="s">
        <v>3</v>
      </c>
      <c r="C6" s="324"/>
      <c r="D6" s="325"/>
      <c r="E6" s="325"/>
      <c r="F6" s="325"/>
      <c r="G6" s="325"/>
      <c r="H6" s="325"/>
      <c r="I6" s="325"/>
      <c r="J6" s="81" t="s">
        <v>104</v>
      </c>
      <c r="K6" s="324"/>
      <c r="L6" s="326"/>
      <c r="N6" s="216"/>
      <c r="O6" s="216"/>
      <c r="P6" s="216"/>
      <c r="Q6" s="216"/>
      <c r="R6" s="216"/>
    </row>
    <row r="7" spans="2:18" ht="16.2" thickBot="1" x14ac:dyDescent="0.35">
      <c r="B7" s="81" t="s">
        <v>4</v>
      </c>
      <c r="C7" s="327"/>
      <c r="D7" s="328"/>
      <c r="E7" s="328"/>
      <c r="F7" s="328"/>
      <c r="G7" s="328"/>
      <c r="H7" s="328"/>
      <c r="I7" s="328"/>
      <c r="J7" s="81" t="s">
        <v>105</v>
      </c>
      <c r="K7" s="329"/>
      <c r="L7" s="330"/>
      <c r="N7" s="216"/>
      <c r="O7" s="216"/>
      <c r="P7" s="216"/>
      <c r="Q7" s="216"/>
      <c r="R7" s="216"/>
    </row>
    <row r="8" spans="2:18" ht="16.2" thickBot="1" x14ac:dyDescent="0.35">
      <c r="B8" s="38" t="s">
        <v>5</v>
      </c>
      <c r="C8" s="32" t="s">
        <v>6</v>
      </c>
      <c r="D8" s="33" t="s">
        <v>7</v>
      </c>
      <c r="E8" s="33" t="s">
        <v>8</v>
      </c>
      <c r="F8" s="33" t="s">
        <v>9</v>
      </c>
      <c r="G8" s="34" t="s">
        <v>10</v>
      </c>
      <c r="H8" s="33" t="s">
        <v>48</v>
      </c>
      <c r="I8" s="34" t="s">
        <v>49</v>
      </c>
      <c r="J8" s="33" t="s">
        <v>50</v>
      </c>
      <c r="K8" s="34" t="s">
        <v>51</v>
      </c>
      <c r="L8" s="34" t="s">
        <v>52</v>
      </c>
      <c r="N8" s="216"/>
      <c r="O8" s="216"/>
      <c r="P8" s="216"/>
      <c r="Q8" s="216"/>
      <c r="R8" s="216"/>
    </row>
    <row r="9" spans="2:18" ht="15.6" x14ac:dyDescent="0.3">
      <c r="B9" s="53" t="s">
        <v>11</v>
      </c>
      <c r="C9" s="126"/>
      <c r="D9" s="126"/>
      <c r="E9" s="126"/>
      <c r="F9" s="126"/>
      <c r="G9" s="15"/>
      <c r="H9" s="15"/>
      <c r="I9" s="15"/>
      <c r="J9" s="15"/>
      <c r="K9" s="15"/>
      <c r="L9" s="16"/>
      <c r="N9" s="216"/>
      <c r="O9" s="216"/>
      <c r="P9" s="216"/>
      <c r="Q9" s="216"/>
      <c r="R9" s="216"/>
    </row>
    <row r="10" spans="2:18" ht="17.100000000000001" customHeight="1" x14ac:dyDescent="0.3">
      <c r="B10" s="54" t="s">
        <v>12</v>
      </c>
      <c r="C10" s="9"/>
      <c r="D10" s="9"/>
      <c r="E10" s="9"/>
      <c r="F10" s="9"/>
      <c r="G10" s="9"/>
      <c r="H10" s="9"/>
      <c r="I10" s="9"/>
      <c r="J10" s="9"/>
      <c r="K10" s="9"/>
      <c r="L10" s="10"/>
    </row>
    <row r="11" spans="2:18" ht="17.100000000000001" customHeight="1" x14ac:dyDescent="0.3">
      <c r="B11" s="54" t="s">
        <v>76</v>
      </c>
      <c r="C11" s="51"/>
      <c r="D11" s="148"/>
      <c r="E11" s="19"/>
      <c r="F11" s="19"/>
      <c r="G11" s="19"/>
      <c r="H11" s="9"/>
      <c r="I11" s="9"/>
      <c r="J11" s="9"/>
      <c r="K11" s="9"/>
      <c r="L11" s="10"/>
    </row>
    <row r="12" spans="2:18" ht="17.100000000000001" hidden="1" customHeight="1" x14ac:dyDescent="0.3">
      <c r="B12" s="270" t="s">
        <v>13</v>
      </c>
      <c r="C12" s="127"/>
      <c r="D12" s="127"/>
      <c r="E12" s="4"/>
      <c r="F12" s="4"/>
      <c r="G12" s="4"/>
      <c r="H12" s="4"/>
      <c r="I12" s="4"/>
      <c r="J12" s="4"/>
      <c r="K12" s="4"/>
      <c r="L12" s="5"/>
    </row>
    <row r="13" spans="2:18" ht="17.100000000000001" customHeight="1" x14ac:dyDescent="0.3">
      <c r="B13" s="54" t="s">
        <v>14</v>
      </c>
      <c r="C13" s="52"/>
      <c r="D13" s="52"/>
      <c r="E13" s="11"/>
      <c r="F13" s="11"/>
      <c r="G13" s="11"/>
      <c r="H13" s="11"/>
      <c r="I13" s="11"/>
      <c r="J13" s="11"/>
      <c r="K13" s="11"/>
      <c r="L13" s="12"/>
    </row>
    <row r="14" spans="2:18" ht="17.100000000000001" customHeight="1" thickBot="1" x14ac:dyDescent="0.35">
      <c r="B14" s="122" t="s">
        <v>15</v>
      </c>
      <c r="C14" s="96"/>
      <c r="D14" s="96"/>
      <c r="E14" s="13"/>
      <c r="F14" s="13"/>
      <c r="G14" s="13"/>
      <c r="H14" s="13"/>
      <c r="I14" s="13"/>
      <c r="J14" s="13"/>
      <c r="K14" s="13"/>
      <c r="L14" s="14"/>
    </row>
    <row r="15" spans="2:18" ht="15.6" hidden="1" x14ac:dyDescent="0.3">
      <c r="B15" s="120" t="s">
        <v>16</v>
      </c>
      <c r="C15" s="121"/>
      <c r="D15" s="113"/>
      <c r="E15" s="113"/>
      <c r="F15" s="113"/>
      <c r="G15" s="113"/>
      <c r="H15" s="113"/>
      <c r="I15" s="113"/>
      <c r="J15" s="113"/>
      <c r="K15" s="113"/>
      <c r="L15" s="114"/>
    </row>
    <row r="16" spans="2:18" ht="16.2" hidden="1" thickBot="1" x14ac:dyDescent="0.35">
      <c r="B16" s="97" t="s">
        <v>17</v>
      </c>
      <c r="C16" s="96"/>
      <c r="D16" s="13"/>
      <c r="E16" s="13"/>
      <c r="F16" s="13"/>
      <c r="G16" s="13"/>
      <c r="H16" s="13"/>
      <c r="I16" s="13"/>
      <c r="J16" s="13"/>
      <c r="K16" s="13"/>
      <c r="L16" s="14"/>
    </row>
    <row r="17" spans="1:12" ht="16.2" thickBot="1" x14ac:dyDescent="0.35">
      <c r="B17" s="39"/>
      <c r="C17" s="1"/>
      <c r="D17" s="149"/>
      <c r="E17" s="149"/>
      <c r="F17" s="1"/>
      <c r="G17" s="1"/>
    </row>
    <row r="18" spans="1:12" ht="16.2" thickBot="1" x14ac:dyDescent="0.35">
      <c r="B18" s="321" t="s">
        <v>91</v>
      </c>
      <c r="C18" s="322"/>
      <c r="D18" s="322"/>
      <c r="E18" s="322"/>
      <c r="F18" s="322"/>
      <c r="G18" s="322"/>
      <c r="H18" s="322"/>
      <c r="I18" s="322"/>
      <c r="J18" s="322"/>
      <c r="K18" s="322"/>
      <c r="L18" s="323"/>
    </row>
    <row r="19" spans="1:12" ht="18.600000000000001" thickBot="1" x14ac:dyDescent="0.35">
      <c r="B19" s="38" t="s">
        <v>208</v>
      </c>
      <c r="C19" s="57" t="s">
        <v>6</v>
      </c>
      <c r="D19" s="49" t="s">
        <v>7</v>
      </c>
      <c r="E19" s="49" t="s">
        <v>8</v>
      </c>
      <c r="F19" s="49" t="s">
        <v>9</v>
      </c>
      <c r="G19" s="49" t="s">
        <v>10</v>
      </c>
      <c r="H19" s="49" t="s">
        <v>48</v>
      </c>
      <c r="I19" s="49" t="s">
        <v>49</v>
      </c>
      <c r="J19" s="49" t="s">
        <v>50</v>
      </c>
      <c r="K19" s="49" t="s">
        <v>51</v>
      </c>
      <c r="L19" s="50" t="s">
        <v>52</v>
      </c>
    </row>
    <row r="20" spans="1:12" ht="15.6" x14ac:dyDescent="0.3">
      <c r="B20" s="53" t="s">
        <v>123</v>
      </c>
      <c r="C20" s="76"/>
      <c r="D20" s="76"/>
      <c r="E20" s="76"/>
      <c r="F20" s="76"/>
      <c r="G20" s="76"/>
      <c r="H20" s="76"/>
      <c r="I20" s="76"/>
      <c r="J20" s="76"/>
      <c r="K20" s="76"/>
      <c r="L20" s="209"/>
    </row>
    <row r="21" spans="1:12" ht="15.6" x14ac:dyDescent="0.3">
      <c r="B21" s="54" t="s">
        <v>124</v>
      </c>
      <c r="C21" s="78"/>
      <c r="D21" s="78"/>
      <c r="E21" s="78"/>
      <c r="F21" s="78"/>
      <c r="G21" s="78"/>
      <c r="H21" s="78"/>
      <c r="I21" s="78"/>
      <c r="J21" s="78"/>
      <c r="K21" s="78"/>
      <c r="L21" s="210"/>
    </row>
    <row r="22" spans="1:12" ht="15.6" x14ac:dyDescent="0.3">
      <c r="B22" s="54" t="s">
        <v>125</v>
      </c>
      <c r="C22" s="78"/>
      <c r="D22" s="78"/>
      <c r="E22" s="78"/>
      <c r="F22" s="78"/>
      <c r="G22" s="78"/>
      <c r="H22" s="78"/>
      <c r="I22" s="78"/>
      <c r="J22" s="78"/>
      <c r="K22" s="78"/>
      <c r="L22" s="210"/>
    </row>
    <row r="23" spans="1:12" ht="15.6" x14ac:dyDescent="0.3">
      <c r="B23" s="62" t="s">
        <v>80</v>
      </c>
      <c r="C23" s="63">
        <f>C21-C22</f>
        <v>0</v>
      </c>
      <c r="D23" s="63">
        <f>D21-D22</f>
        <v>0</v>
      </c>
      <c r="E23" s="63">
        <f t="shared" ref="E23:L23" si="0">E21-E22</f>
        <v>0</v>
      </c>
      <c r="F23" s="63">
        <f t="shared" si="0"/>
        <v>0</v>
      </c>
      <c r="G23" s="63">
        <f t="shared" si="0"/>
        <v>0</v>
      </c>
      <c r="H23" s="63">
        <f t="shared" si="0"/>
        <v>0</v>
      </c>
      <c r="I23" s="63">
        <f t="shared" si="0"/>
        <v>0</v>
      </c>
      <c r="J23" s="63">
        <f t="shared" si="0"/>
        <v>0</v>
      </c>
      <c r="K23" s="63">
        <f t="shared" si="0"/>
        <v>0</v>
      </c>
      <c r="L23" s="211">
        <f t="shared" si="0"/>
        <v>0</v>
      </c>
    </row>
    <row r="24" spans="1:12" ht="15.6" x14ac:dyDescent="0.3">
      <c r="B24" s="54" t="s">
        <v>81</v>
      </c>
      <c r="C24" s="77"/>
      <c r="D24" s="77"/>
      <c r="E24" s="77"/>
      <c r="F24" s="77"/>
      <c r="G24" s="77"/>
      <c r="H24" s="77"/>
      <c r="I24" s="77"/>
      <c r="J24" s="77"/>
      <c r="K24" s="77"/>
      <c r="L24" s="212"/>
    </row>
    <row r="25" spans="1:12" ht="15.6" x14ac:dyDescent="0.3">
      <c r="B25" s="54" t="s">
        <v>77</v>
      </c>
      <c r="C25" s="77"/>
      <c r="D25" s="77"/>
      <c r="E25" s="77"/>
      <c r="F25" s="77"/>
      <c r="G25" s="77"/>
      <c r="H25" s="77"/>
      <c r="I25" s="77"/>
      <c r="J25" s="77"/>
      <c r="K25" s="77"/>
      <c r="L25" s="212"/>
    </row>
    <row r="26" spans="1:12" ht="15.6" x14ac:dyDescent="0.3">
      <c r="B26" s="54" t="s">
        <v>78</v>
      </c>
      <c r="C26" s="77"/>
      <c r="D26" s="77"/>
      <c r="E26" s="77"/>
      <c r="F26" s="77"/>
      <c r="G26" s="77"/>
      <c r="H26" s="77"/>
      <c r="I26" s="77"/>
      <c r="J26" s="77"/>
      <c r="K26" s="77"/>
      <c r="L26" s="212"/>
    </row>
    <row r="27" spans="1:12" ht="15.6" x14ac:dyDescent="0.3">
      <c r="B27" s="56"/>
      <c r="C27" s="55">
        <f>IF(C20&gt;0,C20,IF(C23&gt;0,C23,IF(C24&gt;0,C24,IF(C25&gt;0,C25,IF(C26&gt;0,C26,0)))))</f>
        <v>0</v>
      </c>
      <c r="D27" s="55">
        <f>IF(D20&gt;0,D20,IF(D23&gt;0,D23,IF(D24&gt;0,D24,IF(D25&gt;0,D25,IF(D26&gt;0,D26,0)))))</f>
        <v>0</v>
      </c>
      <c r="E27" s="55">
        <f t="shared" ref="E27:L27" si="1">IF(E20&gt;0,E20,IF(E23&gt;0,E23,IF(E24&gt;0,E24,IF(E25&gt;0,E25,IF(E26&gt;0,E26,0)))))</f>
        <v>0</v>
      </c>
      <c r="F27" s="55">
        <f t="shared" si="1"/>
        <v>0</v>
      </c>
      <c r="G27" s="55">
        <f t="shared" si="1"/>
        <v>0</v>
      </c>
      <c r="H27" s="55">
        <f t="shared" si="1"/>
        <v>0</v>
      </c>
      <c r="I27" s="55">
        <f t="shared" si="1"/>
        <v>0</v>
      </c>
      <c r="J27" s="55">
        <f t="shared" si="1"/>
        <v>0</v>
      </c>
      <c r="K27" s="55">
        <f t="shared" si="1"/>
        <v>0</v>
      </c>
      <c r="L27" s="213">
        <f t="shared" si="1"/>
        <v>0</v>
      </c>
    </row>
    <row r="28" spans="1:12" ht="16.2" thickBot="1" x14ac:dyDescent="0.35">
      <c r="B28" s="66" t="s">
        <v>79</v>
      </c>
      <c r="C28" s="67" t="str">
        <f>IF(C9="","NO",IF(AND(C10="Residential",C27=0),"ESCALATE","NO"))</f>
        <v>NO</v>
      </c>
      <c r="D28" s="67" t="str">
        <f>IF(D9="","NO",IF(AND(D10="Residential",D27=0),"ESCALATE","NO"))</f>
        <v>NO</v>
      </c>
      <c r="E28" s="67" t="str">
        <f t="shared" ref="E28:L28" si="2">IF(E9="","NO",IF(AND(E10="Residential",E27=0),"ESCALATE","NO"))</f>
        <v>NO</v>
      </c>
      <c r="F28" s="67" t="str">
        <f t="shared" si="2"/>
        <v>NO</v>
      </c>
      <c r="G28" s="67" t="str">
        <f t="shared" si="2"/>
        <v>NO</v>
      </c>
      <c r="H28" s="67" t="str">
        <f t="shared" si="2"/>
        <v>NO</v>
      </c>
      <c r="I28" s="67" t="str">
        <f t="shared" si="2"/>
        <v>NO</v>
      </c>
      <c r="J28" s="67" t="str">
        <f t="shared" si="2"/>
        <v>NO</v>
      </c>
      <c r="K28" s="67" t="str">
        <f t="shared" si="2"/>
        <v>NO</v>
      </c>
      <c r="L28" s="214" t="str">
        <f t="shared" si="2"/>
        <v>NO</v>
      </c>
    </row>
    <row r="29" spans="1:12" ht="16.2" thickBot="1" x14ac:dyDescent="0.35">
      <c r="A29" s="17"/>
      <c r="B29" s="27"/>
      <c r="C29" s="28"/>
      <c r="D29" s="28"/>
      <c r="E29" s="28"/>
      <c r="F29" s="28"/>
      <c r="G29" s="28"/>
      <c r="H29" s="28"/>
      <c r="I29" s="28"/>
      <c r="J29" s="28"/>
      <c r="K29" s="28"/>
      <c r="L29" s="28"/>
    </row>
    <row r="30" spans="1:12" ht="18.600000000000001" thickBot="1" x14ac:dyDescent="0.35">
      <c r="B30" s="203" t="s">
        <v>209</v>
      </c>
      <c r="C30" s="58" t="s">
        <v>6</v>
      </c>
      <c r="D30" s="58" t="s">
        <v>7</v>
      </c>
      <c r="E30" s="58" t="s">
        <v>8</v>
      </c>
      <c r="F30" s="58" t="s">
        <v>9</v>
      </c>
      <c r="G30" s="58" t="s">
        <v>10</v>
      </c>
      <c r="H30" s="58" t="s">
        <v>48</v>
      </c>
      <c r="I30" s="58" t="s">
        <v>49</v>
      </c>
      <c r="J30" s="58" t="s">
        <v>50</v>
      </c>
      <c r="K30" s="58" t="s">
        <v>51</v>
      </c>
      <c r="L30" s="59" t="s">
        <v>52</v>
      </c>
    </row>
    <row r="31" spans="1:12" ht="15.6" x14ac:dyDescent="0.3">
      <c r="B31" s="281" t="s">
        <v>126</v>
      </c>
      <c r="C31" s="282"/>
      <c r="D31" s="282"/>
      <c r="E31" s="282"/>
      <c r="F31" s="282"/>
      <c r="G31" s="282"/>
      <c r="H31" s="282"/>
      <c r="I31" s="282"/>
      <c r="J31" s="282"/>
      <c r="K31" s="282"/>
      <c r="L31" s="283"/>
    </row>
    <row r="32" spans="1:12" ht="15.6" hidden="1" x14ac:dyDescent="0.3">
      <c r="B32" s="70" t="s">
        <v>82</v>
      </c>
      <c r="C32" s="64"/>
      <c r="D32" s="64"/>
      <c r="E32" s="64"/>
      <c r="F32" s="64"/>
      <c r="G32" s="64"/>
      <c r="H32" s="64"/>
      <c r="I32" s="64"/>
      <c r="J32" s="64"/>
      <c r="K32" s="64"/>
      <c r="L32" s="65"/>
    </row>
    <row r="33" spans="2:14" ht="15.6" x14ac:dyDescent="0.3">
      <c r="B33" s="42" t="s">
        <v>81</v>
      </c>
      <c r="C33" s="78"/>
      <c r="D33" s="78"/>
      <c r="E33" s="78"/>
      <c r="F33" s="78"/>
      <c r="G33" s="78"/>
      <c r="H33" s="78"/>
      <c r="I33" s="78"/>
      <c r="J33" s="78"/>
      <c r="K33" s="78"/>
      <c r="L33" s="210"/>
    </row>
    <row r="34" spans="2:14" ht="15.6" x14ac:dyDescent="0.3">
      <c r="B34" s="42" t="s">
        <v>77</v>
      </c>
      <c r="C34" s="78"/>
      <c r="D34" s="78"/>
      <c r="E34" s="78"/>
      <c r="F34" s="78"/>
      <c r="G34" s="78"/>
      <c r="H34" s="78"/>
      <c r="I34" s="78"/>
      <c r="J34" s="78"/>
      <c r="K34" s="78"/>
      <c r="L34" s="210"/>
    </row>
    <row r="35" spans="2:14" ht="15.6" x14ac:dyDescent="0.3">
      <c r="B35" s="42" t="s">
        <v>78</v>
      </c>
      <c r="C35" s="78"/>
      <c r="D35" s="78"/>
      <c r="E35" s="78"/>
      <c r="F35" s="78"/>
      <c r="G35" s="78"/>
      <c r="H35" s="78"/>
      <c r="I35" s="78"/>
      <c r="J35" s="78"/>
      <c r="K35" s="78"/>
      <c r="L35" s="210"/>
    </row>
    <row r="36" spans="2:14" ht="15.6" x14ac:dyDescent="0.3">
      <c r="B36" s="41"/>
      <c r="C36" s="20">
        <f>IF(C31&gt;0,C31,IF(C33&gt;0,C33,IF(C34&gt;0,C34,IF(C35&gt;0,C35,0))))</f>
        <v>0</v>
      </c>
      <c r="D36" s="20">
        <f>IF(D31&gt;0,D31,IF(D33&gt;0,D33,IF(D34&gt;0,D34,IF(D35&gt;0,D35,0))))</f>
        <v>0</v>
      </c>
      <c r="E36" s="20">
        <f t="shared" ref="E36:L36" si="3">IF(E31&gt;0,E31,IF(E33&gt;0,E33,IF(E34&gt;0,E34,IF(E35&gt;0,E35,0))))</f>
        <v>0</v>
      </c>
      <c r="F36" s="20">
        <f t="shared" si="3"/>
        <v>0</v>
      </c>
      <c r="G36" s="20">
        <f t="shared" si="3"/>
        <v>0</v>
      </c>
      <c r="H36" s="20">
        <f t="shared" si="3"/>
        <v>0</v>
      </c>
      <c r="I36" s="20">
        <f t="shared" si="3"/>
        <v>0</v>
      </c>
      <c r="J36" s="20">
        <f t="shared" si="3"/>
        <v>0</v>
      </c>
      <c r="K36" s="20">
        <f t="shared" si="3"/>
        <v>0</v>
      </c>
      <c r="L36" s="29">
        <f t="shared" si="3"/>
        <v>0</v>
      </c>
    </row>
    <row r="37" spans="2:14" ht="16.2" thickBot="1" x14ac:dyDescent="0.35">
      <c r="B37" s="71" t="s">
        <v>79</v>
      </c>
      <c r="C37" s="68" t="str">
        <f>IF(C9="","NO",IF(AND(OR(C10="Commercial",C10="Other"),C36=0),"ESCALATE","NO"))</f>
        <v>NO</v>
      </c>
      <c r="D37" s="68" t="str">
        <f>IF(D9="","NO",IF(AND(OR(D10="Commercial",D10="Other"),D36=0),"ESCALATE","NO"))</f>
        <v>NO</v>
      </c>
      <c r="E37" s="68" t="str">
        <f t="shared" ref="E37:L37" si="4">IF(E9="","NO",IF(AND(OR(E10="Commercial",E10="Other"),E36=0),"ESCALATE","NO"))</f>
        <v>NO</v>
      </c>
      <c r="F37" s="68" t="str">
        <f t="shared" si="4"/>
        <v>NO</v>
      </c>
      <c r="G37" s="68" t="str">
        <f t="shared" si="4"/>
        <v>NO</v>
      </c>
      <c r="H37" s="68" t="str">
        <f t="shared" si="4"/>
        <v>NO</v>
      </c>
      <c r="I37" s="68" t="str">
        <f t="shared" si="4"/>
        <v>NO</v>
      </c>
      <c r="J37" s="68" t="str">
        <f t="shared" si="4"/>
        <v>NO</v>
      </c>
      <c r="K37" s="68" t="str">
        <f t="shared" si="4"/>
        <v>NO</v>
      </c>
      <c r="L37" s="69" t="str">
        <f t="shared" si="4"/>
        <v>NO</v>
      </c>
    </row>
    <row r="38" spans="2:14" ht="16.2" thickBot="1" x14ac:dyDescent="0.35">
      <c r="B38" s="39"/>
      <c r="C38" s="1"/>
      <c r="D38" s="1"/>
      <c r="E38" s="1"/>
      <c r="F38" s="1"/>
      <c r="G38" s="1"/>
    </row>
    <row r="39" spans="2:14" ht="16.2" thickBot="1" x14ac:dyDescent="0.35">
      <c r="B39" s="357" t="s">
        <v>83</v>
      </c>
      <c r="C39" s="322"/>
      <c r="D39" s="322"/>
      <c r="E39" s="322"/>
      <c r="F39" s="322"/>
      <c r="G39" s="322"/>
      <c r="H39" s="322"/>
      <c r="I39" s="322"/>
      <c r="J39" s="322"/>
      <c r="K39" s="322"/>
      <c r="L39" s="323"/>
    </row>
    <row r="40" spans="2:14" ht="15.6" x14ac:dyDescent="0.3">
      <c r="B40" s="48" t="s">
        <v>19</v>
      </c>
      <c r="C40" s="60" t="s">
        <v>6</v>
      </c>
      <c r="D40" s="60" t="s">
        <v>7</v>
      </c>
      <c r="E40" s="60" t="s">
        <v>8</v>
      </c>
      <c r="F40" s="60" t="s">
        <v>9</v>
      </c>
      <c r="G40" s="60" t="s">
        <v>10</v>
      </c>
      <c r="H40" s="60" t="s">
        <v>48</v>
      </c>
      <c r="I40" s="60" t="s">
        <v>49</v>
      </c>
      <c r="J40" s="60" t="s">
        <v>50</v>
      </c>
      <c r="K40" s="60" t="s">
        <v>51</v>
      </c>
      <c r="L40" s="61" t="s">
        <v>52</v>
      </c>
    </row>
    <row r="41" spans="2:14" ht="15.6" x14ac:dyDescent="0.3">
      <c r="B41" s="70" t="s">
        <v>88</v>
      </c>
      <c r="C41" s="64">
        <f t="shared" ref="C41:L41" si="5">IF(C10="",0,IF(C10="Residential",250000,500000))</f>
        <v>0</v>
      </c>
      <c r="D41" s="64">
        <f t="shared" si="5"/>
        <v>0</v>
      </c>
      <c r="E41" s="64">
        <f t="shared" si="5"/>
        <v>0</v>
      </c>
      <c r="F41" s="64">
        <f t="shared" si="5"/>
        <v>0</v>
      </c>
      <c r="G41" s="64">
        <f t="shared" si="5"/>
        <v>0</v>
      </c>
      <c r="H41" s="64">
        <f t="shared" si="5"/>
        <v>0</v>
      </c>
      <c r="I41" s="64">
        <f t="shared" si="5"/>
        <v>0</v>
      </c>
      <c r="J41" s="64">
        <f t="shared" si="5"/>
        <v>0</v>
      </c>
      <c r="K41" s="64">
        <f t="shared" si="5"/>
        <v>0</v>
      </c>
      <c r="L41" s="65">
        <f t="shared" si="5"/>
        <v>0</v>
      </c>
    </row>
    <row r="42" spans="2:14" ht="15.6" x14ac:dyDescent="0.3">
      <c r="B42" s="123" t="s">
        <v>21</v>
      </c>
      <c r="C42" s="124">
        <f>IF(C10="Residential",C27,C36)</f>
        <v>0</v>
      </c>
      <c r="D42" s="124">
        <f t="shared" ref="D42:L42" si="6">IF(D10="Residential",D27,D36)</f>
        <v>0</v>
      </c>
      <c r="E42" s="124">
        <f>IF(E10="Residential",E27,E36)</f>
        <v>0</v>
      </c>
      <c r="F42" s="124">
        <f t="shared" si="6"/>
        <v>0</v>
      </c>
      <c r="G42" s="124">
        <f t="shared" si="6"/>
        <v>0</v>
      </c>
      <c r="H42" s="124">
        <f t="shared" si="6"/>
        <v>0</v>
      </c>
      <c r="I42" s="124">
        <f t="shared" si="6"/>
        <v>0</v>
      </c>
      <c r="J42" s="124">
        <f t="shared" si="6"/>
        <v>0</v>
      </c>
      <c r="K42" s="124">
        <f t="shared" si="6"/>
        <v>0</v>
      </c>
      <c r="L42" s="125">
        <f t="shared" si="6"/>
        <v>0</v>
      </c>
    </row>
    <row r="43" spans="2:14" ht="15.6" x14ac:dyDescent="0.3">
      <c r="B43" s="70" t="s">
        <v>121</v>
      </c>
      <c r="C43" s="72">
        <f>+IF(C42&lt;C41,C42,C41)</f>
        <v>0</v>
      </c>
      <c r="D43" s="72">
        <f t="shared" ref="D43:L43" si="7">+IF(D42&lt;D41,D42,D41)</f>
        <v>0</v>
      </c>
      <c r="E43" s="72">
        <f t="shared" si="7"/>
        <v>0</v>
      </c>
      <c r="F43" s="72">
        <f t="shared" si="7"/>
        <v>0</v>
      </c>
      <c r="G43" s="72">
        <f t="shared" si="7"/>
        <v>0</v>
      </c>
      <c r="H43" s="72">
        <f t="shared" si="7"/>
        <v>0</v>
      </c>
      <c r="I43" s="72">
        <f t="shared" si="7"/>
        <v>0</v>
      </c>
      <c r="J43" s="72">
        <f t="shared" si="7"/>
        <v>0</v>
      </c>
      <c r="K43" s="72">
        <f t="shared" si="7"/>
        <v>0</v>
      </c>
      <c r="L43" s="73">
        <f t="shared" si="7"/>
        <v>0</v>
      </c>
    </row>
    <row r="44" spans="2:14" ht="22.5" customHeight="1" x14ac:dyDescent="0.3">
      <c r="B44" s="140" t="s">
        <v>141</v>
      </c>
      <c r="C44" s="142"/>
      <c r="D44" s="142"/>
      <c r="E44" s="142"/>
      <c r="F44" s="142"/>
      <c r="G44" s="142"/>
      <c r="H44" s="142"/>
      <c r="I44" s="142"/>
      <c r="J44" s="142"/>
      <c r="K44" s="142"/>
      <c r="L44" s="172"/>
    </row>
    <row r="45" spans="2:14" ht="21.9" customHeight="1" x14ac:dyDescent="0.3">
      <c r="B45" s="363" t="str">
        <f>IF(OR(C44="Private Policy",D44="Private Policy",E44="Private Policy",F44="Private Policy",G44="Private Policy",H44="Private Policy",I44="Private Policy",J44="Private Policy",K44="Private Policy",L44="Private Policy"),"COMPLETE THE PRIVATE FLOOD INS CHECKLIST TAB","")</f>
        <v/>
      </c>
      <c r="C45" s="364"/>
      <c r="D45" s="364"/>
      <c r="E45" s="364"/>
      <c r="F45" s="364"/>
      <c r="G45" s="364"/>
      <c r="H45" s="364"/>
      <c r="I45" s="364"/>
      <c r="J45" s="364"/>
      <c r="K45" s="364"/>
      <c r="L45" s="365"/>
    </row>
    <row r="46" spans="2:14" s="285" customFormat="1" ht="24.9" customHeight="1" x14ac:dyDescent="0.3">
      <c r="B46" s="42" t="s">
        <v>219</v>
      </c>
      <c r="C46" s="286"/>
      <c r="D46" s="286"/>
      <c r="E46" s="286"/>
      <c r="F46" s="286"/>
      <c r="G46" s="286"/>
      <c r="H46" s="286"/>
      <c r="I46" s="286"/>
      <c r="J46" s="286"/>
      <c r="K46" s="286"/>
      <c r="L46" s="287"/>
      <c r="M46" s="173"/>
    </row>
    <row r="47" spans="2:14" s="285" customFormat="1" ht="24.9" customHeight="1" x14ac:dyDescent="0.3">
      <c r="B47" s="42" t="s">
        <v>158</v>
      </c>
      <c r="C47" s="21"/>
      <c r="D47" s="21"/>
      <c r="E47" s="21"/>
      <c r="F47" s="21"/>
      <c r="G47" s="21"/>
      <c r="H47" s="21"/>
      <c r="I47" s="21"/>
      <c r="J47" s="21"/>
      <c r="K47" s="21"/>
      <c r="L47" s="22"/>
      <c r="M47" s="173"/>
      <c r="N47" s="173"/>
    </row>
    <row r="48" spans="2:14" ht="24.9" customHeight="1" thickBot="1" x14ac:dyDescent="0.35">
      <c r="B48" s="43" t="s">
        <v>73</v>
      </c>
      <c r="C48" s="25"/>
      <c r="D48" s="25"/>
      <c r="E48" s="25"/>
      <c r="F48" s="25"/>
      <c r="G48" s="25"/>
      <c r="H48" s="25"/>
      <c r="I48" s="25"/>
      <c r="J48" s="25"/>
      <c r="K48" s="25"/>
      <c r="L48" s="26"/>
    </row>
    <row r="49" spans="1:13" ht="27" customHeight="1" x14ac:dyDescent="0.3">
      <c r="B49" s="339" t="str">
        <f>IF(OR($C$7&lt;C47,$C$7&lt;D47,$C$7&lt;E47,$C$7&lt;F47,$C$7&lt;G47,$C$7&lt;H47,$C$7&lt;I47,$C$7&lt;J47,$C$7&lt;K47,$C$7&lt;L47),"STOP! LOAN CANNOT CLOSE UNTIL ON OR AFTER THE COVERAGE EFFECTIVE DATE.","")</f>
        <v/>
      </c>
      <c r="C49" s="339"/>
      <c r="D49" s="339"/>
      <c r="E49" s="339"/>
      <c r="F49" s="339"/>
      <c r="G49" s="339"/>
      <c r="H49" s="339"/>
      <c r="I49" s="339"/>
      <c r="J49" s="339"/>
      <c r="K49" s="339"/>
      <c r="L49" s="339"/>
    </row>
    <row r="50" spans="1:13" ht="16.5" customHeight="1" thickBot="1" x14ac:dyDescent="0.35">
      <c r="B50" s="143"/>
      <c r="C50" s="143"/>
      <c r="D50" s="143"/>
      <c r="E50" s="143"/>
      <c r="F50" s="143"/>
      <c r="G50" s="143"/>
      <c r="H50" s="143"/>
      <c r="I50" s="143"/>
      <c r="J50" s="143"/>
      <c r="K50" s="143"/>
      <c r="L50" s="143"/>
    </row>
    <row r="51" spans="1:13" ht="18" customHeight="1" thickBot="1" x14ac:dyDescent="0.35">
      <c r="B51" s="358" t="s">
        <v>85</v>
      </c>
      <c r="C51" s="359"/>
      <c r="D51" s="359"/>
      <c r="E51" s="359"/>
      <c r="F51" s="359"/>
      <c r="G51" s="359"/>
      <c r="H51" s="359"/>
      <c r="I51" s="359"/>
      <c r="J51" s="359"/>
      <c r="K51" s="359"/>
      <c r="L51" s="360"/>
    </row>
    <row r="52" spans="1:13" s="260" customFormat="1" ht="32.25" customHeight="1" x14ac:dyDescent="0.3">
      <c r="B52" s="277" t="s">
        <v>210</v>
      </c>
      <c r="C52" s="261"/>
      <c r="D52" s="261"/>
      <c r="E52" s="261"/>
      <c r="F52" s="261"/>
      <c r="G52" s="261"/>
      <c r="H52" s="261"/>
      <c r="I52" s="261"/>
      <c r="J52" s="261"/>
      <c r="K52" s="261"/>
      <c r="L52" s="279"/>
      <c r="M52" s="262"/>
    </row>
    <row r="53" spans="1:13" ht="31.2" x14ac:dyDescent="0.3">
      <c r="B53" s="40" t="s">
        <v>30</v>
      </c>
      <c r="C53" s="46" t="s">
        <v>25</v>
      </c>
      <c r="D53" s="46" t="s">
        <v>26</v>
      </c>
      <c r="E53" s="46" t="s">
        <v>27</v>
      </c>
      <c r="F53" s="46" t="s">
        <v>28</v>
      </c>
      <c r="G53" s="46" t="s">
        <v>29</v>
      </c>
      <c r="H53" s="46" t="s">
        <v>53</v>
      </c>
      <c r="I53" s="46" t="s">
        <v>54</v>
      </c>
      <c r="J53" s="46" t="s">
        <v>55</v>
      </c>
      <c r="K53" s="46" t="s">
        <v>56</v>
      </c>
      <c r="L53" s="47" t="s">
        <v>57</v>
      </c>
    </row>
    <row r="54" spans="1:13" s="129" customFormat="1" ht="24.75" customHeight="1" x14ac:dyDescent="0.3">
      <c r="B54" s="42" t="s">
        <v>31</v>
      </c>
      <c r="C54" s="174"/>
      <c r="D54" s="174"/>
      <c r="E54" s="174"/>
      <c r="F54" s="174"/>
      <c r="G54" s="174"/>
      <c r="H54" s="174"/>
      <c r="I54" s="174"/>
      <c r="J54" s="174"/>
      <c r="K54" s="174"/>
      <c r="L54" s="207"/>
      <c r="M54" s="179"/>
    </row>
    <row r="55" spans="1:13" ht="15.6" x14ac:dyDescent="0.3">
      <c r="B55" s="70" t="s">
        <v>211</v>
      </c>
      <c r="C55" s="74">
        <f t="shared" ref="C55:L55" si="8">IF(C52="No","",IF(C10="Other",100000,IF(C10="Commercial",500000,0)))</f>
        <v>0</v>
      </c>
      <c r="D55" s="74">
        <f>IF(D52="No","",IF(D10="Other",100000,IF(D10="Commercial",500000,0)))</f>
        <v>0</v>
      </c>
      <c r="E55" s="74">
        <f t="shared" si="8"/>
        <v>0</v>
      </c>
      <c r="F55" s="74">
        <f t="shared" si="8"/>
        <v>0</v>
      </c>
      <c r="G55" s="74">
        <f t="shared" si="8"/>
        <v>0</v>
      </c>
      <c r="H55" s="74">
        <f t="shared" si="8"/>
        <v>0</v>
      </c>
      <c r="I55" s="74">
        <f t="shared" si="8"/>
        <v>0</v>
      </c>
      <c r="J55" s="74">
        <f t="shared" si="8"/>
        <v>0</v>
      </c>
      <c r="K55" s="74">
        <f t="shared" si="8"/>
        <v>0</v>
      </c>
      <c r="L55" s="75">
        <f t="shared" si="8"/>
        <v>0</v>
      </c>
      <c r="M55" s="206"/>
    </row>
    <row r="56" spans="1:13" ht="20.100000000000001" customHeight="1" x14ac:dyDescent="0.3">
      <c r="B56" s="278" t="s">
        <v>212</v>
      </c>
      <c r="C56" s="280"/>
      <c r="D56" s="280"/>
      <c r="E56" s="280"/>
      <c r="F56" s="280"/>
      <c r="G56" s="280"/>
      <c r="H56" s="280"/>
      <c r="I56" s="280"/>
      <c r="J56" s="280"/>
      <c r="K56" s="280"/>
      <c r="L56" s="289"/>
    </row>
    <row r="57" spans="1:13" ht="15.6" x14ac:dyDescent="0.3">
      <c r="B57" s="70" t="s">
        <v>61</v>
      </c>
      <c r="C57" s="72">
        <f>+IF(AND(C56&lt;C55,C56&gt;0),C56,C55)</f>
        <v>0</v>
      </c>
      <c r="D57" s="72">
        <f>+IF(AND(D56&lt;D55,D56&gt;0),D56,D55)</f>
        <v>0</v>
      </c>
      <c r="E57" s="72">
        <f>+IF(AND(E56&lt;E55,E56&gt;0),E56,E55)</f>
        <v>0</v>
      </c>
      <c r="F57" s="72">
        <f t="shared" ref="F57:L57" si="9">+IF(AND(F56&lt;F55,F56&gt;0),F56,F55)</f>
        <v>0</v>
      </c>
      <c r="G57" s="72">
        <f t="shared" si="9"/>
        <v>0</v>
      </c>
      <c r="H57" s="72">
        <f t="shared" si="9"/>
        <v>0</v>
      </c>
      <c r="I57" s="72">
        <f t="shared" si="9"/>
        <v>0</v>
      </c>
      <c r="J57" s="72">
        <f t="shared" si="9"/>
        <v>0</v>
      </c>
      <c r="K57" s="72">
        <f t="shared" si="9"/>
        <v>0</v>
      </c>
      <c r="L57" s="73">
        <f t="shared" si="9"/>
        <v>0</v>
      </c>
    </row>
    <row r="58" spans="1:13" s="285" customFormat="1" ht="24.9" customHeight="1" x14ac:dyDescent="0.3">
      <c r="B58" s="42" t="s">
        <v>219</v>
      </c>
      <c r="C58" s="286"/>
      <c r="D58" s="286"/>
      <c r="E58" s="286"/>
      <c r="F58" s="286"/>
      <c r="G58" s="286"/>
      <c r="H58" s="286"/>
      <c r="I58" s="286"/>
      <c r="J58" s="286"/>
      <c r="K58" s="286"/>
      <c r="L58" s="287"/>
      <c r="M58" s="173"/>
    </row>
    <row r="59" spans="1:13" s="285" customFormat="1" ht="24.9" customHeight="1" x14ac:dyDescent="0.3">
      <c r="B59" s="42" t="s">
        <v>158</v>
      </c>
      <c r="C59" s="21"/>
      <c r="D59" s="21"/>
      <c r="E59" s="21"/>
      <c r="F59" s="21"/>
      <c r="G59" s="21"/>
      <c r="H59" s="21"/>
      <c r="I59" s="21"/>
      <c r="J59" s="21"/>
      <c r="K59" s="21"/>
      <c r="L59" s="22"/>
      <c r="M59" s="173"/>
    </row>
    <row r="60" spans="1:13" ht="24.9" customHeight="1" thickBot="1" x14ac:dyDescent="0.35">
      <c r="B60" s="43" t="s">
        <v>73</v>
      </c>
      <c r="C60" s="25"/>
      <c r="D60" s="25"/>
      <c r="E60" s="25"/>
      <c r="F60" s="25"/>
      <c r="G60" s="25"/>
      <c r="H60" s="25"/>
      <c r="I60" s="25"/>
      <c r="J60" s="25"/>
      <c r="K60" s="25"/>
      <c r="L60" s="26"/>
    </row>
    <row r="61" spans="1:13" ht="27" customHeight="1" x14ac:dyDescent="0.3">
      <c r="B61" s="339" t="str">
        <f>IF(OR($C$7&lt;C59,$C$7&lt;D59,$C$7&lt;E59,$C$7&lt;F59,$C$7&lt;G59,$C$7&lt;H59,$C$7&lt;I59,$C$7&lt;J59,$C$7&lt;K59,$C$7&lt;L59),"STOP! LOAN CANNOT CLOSE UNTIL ON OR AFTER THE COVERAGE EFFECTIVE DATE.","")</f>
        <v/>
      </c>
      <c r="C61" s="339"/>
      <c r="D61" s="339"/>
      <c r="E61" s="339"/>
      <c r="F61" s="339"/>
      <c r="G61" s="339"/>
      <c r="H61" s="339"/>
      <c r="I61" s="339"/>
      <c r="J61" s="339"/>
      <c r="K61" s="339"/>
      <c r="L61" s="339"/>
    </row>
    <row r="62" spans="1:13" s="200" customFormat="1" ht="27" customHeight="1" thickBot="1" x14ac:dyDescent="0.35">
      <c r="B62" s="337" t="str">
        <f>IF(OR(AND(C10="Commercial",C52=""),AND(D10="Commercial",D52=""),AND(E10="Commercial",E52=""),AND(F10="Commercial",F52=""),AND(G10="Commercial",G52=""),AND(H10="Commercial",H52=""),AND(I10="Commercial",I52=""),AND(J10="Commercial",J52=""),AND(K10="Commercial",K52=""),AND(L10="Commercial",L52="")),"Must Answer if Contents Taken as Collateral in Yellow Field","")</f>
        <v/>
      </c>
      <c r="C62" s="337"/>
      <c r="D62" s="337"/>
      <c r="E62" s="337"/>
      <c r="F62" s="337"/>
      <c r="G62" s="337"/>
      <c r="H62" s="338"/>
      <c r="I62" s="338"/>
      <c r="J62" s="338"/>
      <c r="K62" s="338"/>
      <c r="L62" s="338"/>
      <c r="M62" s="252"/>
    </row>
    <row r="63" spans="1:13" ht="18" thickBot="1" x14ac:dyDescent="0.35">
      <c r="B63" s="299" t="s">
        <v>84</v>
      </c>
      <c r="C63" s="292"/>
      <c r="D63" s="292"/>
      <c r="E63" s="292"/>
      <c r="F63" s="292"/>
      <c r="G63" s="293"/>
      <c r="H63" s="301"/>
      <c r="I63" s="301"/>
      <c r="J63" s="301"/>
      <c r="K63" s="301"/>
      <c r="L63" s="301"/>
    </row>
    <row r="64" spans="1:13" ht="27" customHeight="1" thickBot="1" x14ac:dyDescent="0.35">
      <c r="A64" s="251"/>
      <c r="B64" s="295" t="s">
        <v>214</v>
      </c>
      <c r="C64" s="355"/>
      <c r="D64" s="356"/>
      <c r="E64" s="304"/>
      <c r="F64" s="304"/>
      <c r="G64" s="305"/>
      <c r="H64" s="300"/>
      <c r="I64" s="300"/>
      <c r="J64" s="300"/>
      <c r="K64" s="300"/>
      <c r="L64" s="300"/>
    </row>
    <row r="65" spans="2:13" ht="26.25" customHeight="1" thickBot="1" x14ac:dyDescent="0.35">
      <c r="B65" s="298" t="s">
        <v>225</v>
      </c>
      <c r="C65" s="296" t="s">
        <v>220</v>
      </c>
      <c r="D65" s="296" t="s">
        <v>221</v>
      </c>
      <c r="E65" s="296" t="s">
        <v>222</v>
      </c>
      <c r="F65" s="296" t="s">
        <v>223</v>
      </c>
      <c r="G65" s="297" t="s">
        <v>224</v>
      </c>
      <c r="H65" s="291"/>
      <c r="I65" s="291"/>
      <c r="J65" s="291"/>
      <c r="K65" s="291"/>
      <c r="L65" s="291"/>
    </row>
    <row r="66" spans="2:13" ht="40.5" customHeight="1" thickBot="1" x14ac:dyDescent="0.35">
      <c r="B66" s="306" t="s">
        <v>226</v>
      </c>
      <c r="C66" s="302"/>
      <c r="D66" s="302"/>
      <c r="E66" s="302"/>
      <c r="F66" s="302"/>
      <c r="G66" s="303"/>
      <c r="H66" s="290"/>
      <c r="I66" s="290"/>
      <c r="J66" s="290"/>
      <c r="K66" s="290"/>
      <c r="L66" s="290"/>
    </row>
    <row r="67" spans="2:13" ht="15.6" x14ac:dyDescent="0.3">
      <c r="B67" s="294"/>
      <c r="C67" s="290"/>
      <c r="D67" s="290"/>
      <c r="E67" s="290"/>
      <c r="F67" s="290"/>
      <c r="G67" s="290"/>
      <c r="H67" s="290"/>
      <c r="I67" s="290"/>
      <c r="J67" s="290"/>
      <c r="K67" s="290"/>
      <c r="L67" s="290"/>
    </row>
    <row r="68" spans="2:13" ht="15.6" x14ac:dyDescent="0.3">
      <c r="B68" s="294"/>
      <c r="C68" s="290"/>
      <c r="D68" s="290"/>
      <c r="E68" s="290"/>
      <c r="F68" s="290"/>
      <c r="G68" s="290"/>
      <c r="H68" s="290"/>
      <c r="I68" s="290"/>
      <c r="J68" s="290"/>
      <c r="K68" s="290"/>
      <c r="L68" s="290"/>
    </row>
    <row r="69" spans="2:13" ht="16.2" thickBot="1" x14ac:dyDescent="0.35">
      <c r="B69" s="39"/>
      <c r="C69" s="1"/>
      <c r="D69" s="1"/>
      <c r="E69" s="1"/>
      <c r="F69" s="1"/>
      <c r="G69" s="1"/>
    </row>
    <row r="70" spans="2:13" ht="26.4" customHeight="1" thickBot="1" x14ac:dyDescent="0.35">
      <c r="B70" s="352" t="s">
        <v>86</v>
      </c>
      <c r="C70" s="353"/>
      <c r="D70" s="353"/>
      <c r="E70" s="353"/>
      <c r="F70" s="354"/>
    </row>
    <row r="71" spans="2:13" ht="26.4" customHeight="1" thickBot="1" x14ac:dyDescent="0.35">
      <c r="B71" s="361" t="s">
        <v>59</v>
      </c>
      <c r="C71" s="362"/>
      <c r="D71" s="266" t="s">
        <v>32</v>
      </c>
      <c r="E71" s="267" t="s">
        <v>33</v>
      </c>
      <c r="F71" s="268" t="s">
        <v>143</v>
      </c>
      <c r="H71" s="351" t="str">
        <f>IF(OR(C44="Mutual Aid Society",D44="Mutual Aid Society",E44="Mutual Aid Society",F44="Mutual Aid Society",G44="Mutual Aid Society",H44="Mutual Aid Society",I44="Mutual Aid Society",J44="Mutual Aid Society",K44="Mutual Aid Society",L44="Mutual Aid Society"),"CONTACT ^COMPLIANCE QUESTIONS FOR ASSISTANCE WITH MUTUAL AID SOCIETY POLICY.","")</f>
        <v/>
      </c>
      <c r="I71" s="351"/>
      <c r="J71" s="351"/>
      <c r="K71" s="351"/>
      <c r="L71" s="351"/>
    </row>
    <row r="72" spans="2:13" ht="26.4" customHeight="1" x14ac:dyDescent="0.3">
      <c r="B72" s="334" t="s">
        <v>34</v>
      </c>
      <c r="C72" s="335"/>
      <c r="D72" s="253">
        <f>SUM($C$64,$C$66:$G$66)</f>
        <v>0</v>
      </c>
      <c r="E72" s="254">
        <f>+IF(OR(C52="Yes",D52="Yes",E52="Yes",F52="Yes",G52="Yes",H52="Yes",I52="Yes",J52="Yes",K52="Yes",L52="Yes"),D72,0)</f>
        <v>0</v>
      </c>
      <c r="F72" s="263">
        <f>SUM($C$64,$C$66:$G$66)</f>
        <v>0</v>
      </c>
      <c r="G72" s="151"/>
      <c r="H72" s="351"/>
      <c r="I72" s="351"/>
      <c r="J72" s="351"/>
      <c r="K72" s="351"/>
      <c r="L72" s="351"/>
    </row>
    <row r="73" spans="2:13" ht="26.4" customHeight="1" x14ac:dyDescent="0.3">
      <c r="B73" s="340" t="s">
        <v>35</v>
      </c>
      <c r="C73" s="341"/>
      <c r="D73" s="255">
        <f>SUM(C43:L43)</f>
        <v>0</v>
      </c>
      <c r="E73" s="258">
        <f>SUM(C57:L57)</f>
        <v>0</v>
      </c>
      <c r="F73" s="264">
        <f>SUM(D73:E73)</f>
        <v>0</v>
      </c>
      <c r="L73" s="173"/>
      <c r="M73"/>
    </row>
    <row r="74" spans="2:13" ht="26.4" customHeight="1" x14ac:dyDescent="0.3">
      <c r="B74" s="349" t="s">
        <v>36</v>
      </c>
      <c r="C74" s="350"/>
      <c r="D74" s="256">
        <f>IF(D73&lt;D72,D73,D72)</f>
        <v>0</v>
      </c>
      <c r="E74" s="259">
        <f>IF(E73&lt;E72,E73,E72)</f>
        <v>0</v>
      </c>
      <c r="F74" s="265">
        <f>IF(F72&lt;F73,F72,F73)</f>
        <v>0</v>
      </c>
      <c r="L74" s="173"/>
      <c r="M74"/>
    </row>
    <row r="75" spans="2:13" ht="26.4" customHeight="1" x14ac:dyDescent="0.3">
      <c r="B75" s="340" t="s">
        <v>37</v>
      </c>
      <c r="C75" s="341"/>
      <c r="D75" s="255">
        <f>SUM(C46:L46)</f>
        <v>0</v>
      </c>
      <c r="E75" s="259">
        <f>SUM(C58:L58)</f>
        <v>0</v>
      </c>
      <c r="F75" s="265">
        <f>SUM(D75:E75)</f>
        <v>0</v>
      </c>
      <c r="L75" s="173"/>
      <c r="M75"/>
    </row>
    <row r="76" spans="2:13" ht="26.4" customHeight="1" x14ac:dyDescent="0.3">
      <c r="B76" s="342" t="s">
        <v>38</v>
      </c>
      <c r="C76" s="343"/>
      <c r="D76" s="255"/>
      <c r="E76" s="257"/>
      <c r="F76" s="265">
        <f>+IF(F74&lt;F75,0,F74-F75)</f>
        <v>0</v>
      </c>
      <c r="L76" s="173"/>
      <c r="M76"/>
    </row>
    <row r="77" spans="2:13" ht="26.4" customHeight="1" thickBot="1" x14ac:dyDescent="0.35">
      <c r="B77" s="344" t="s">
        <v>87</v>
      </c>
      <c r="C77" s="345"/>
      <c r="D77" s="346" t="str">
        <f>IF($B$79="NO","NO",IF(F75&gt;=F74,"YES","NO"))</f>
        <v>YES</v>
      </c>
      <c r="E77" s="347"/>
      <c r="F77" s="348"/>
      <c r="G77" s="1"/>
    </row>
    <row r="78" spans="2:13" ht="25.5" customHeight="1" x14ac:dyDescent="0.3">
      <c r="B78" s="39"/>
      <c r="C78" s="1"/>
      <c r="D78" s="336" t="str">
        <f>IF($B$79="NO","CONTENTS COVERAGE REQUIRED","")</f>
        <v/>
      </c>
      <c r="E78" s="336"/>
      <c r="F78" s="336"/>
      <c r="G78" s="1"/>
    </row>
    <row r="79" spans="2:13" ht="21.75" hidden="1" customHeight="1" x14ac:dyDescent="0.3">
      <c r="B79" s="288" t="str">
        <f>IF(OR(AND(C52="Yes",C58=0),AND(D52="Yes",D58=0),AND(E52="Yes",E58=0),AND(F52="Yes",F58=0),AND(G52="Yes",G58=0),AND(H52="Yes",H58=0),AND(I52="Yes",I58=0),AND(J52="Yes",J58=0),AND(K52="Yes",K58=0),AND(L52="Yes",L58=0)),"NO","YES")</f>
        <v>YES</v>
      </c>
      <c r="E79" s="284"/>
    </row>
    <row r="81" spans="10:13" x14ac:dyDescent="0.3">
      <c r="J81" s="173"/>
      <c r="M81"/>
    </row>
  </sheetData>
  <sheetProtection algorithmName="SHA-512" hashValue="vWaM8Fqv7NHWzB0vFXn/63iwiW/CfCw2PztCb/t54Djqtltz1+jLFZYSy1kffUNHPObH0X/Ls8kPuElhRn8oBw==" saltValue="DVJrj0k2WAmeUjIIVFRmKA==" spinCount="100000" sheet="1" selectLockedCells="1"/>
  <mergeCells count="28">
    <mergeCell ref="B39:L39"/>
    <mergeCell ref="B51:L51"/>
    <mergeCell ref="B71:C71"/>
    <mergeCell ref="B45:L45"/>
    <mergeCell ref="B49:L49"/>
    <mergeCell ref="B72:C72"/>
    <mergeCell ref="D78:F78"/>
    <mergeCell ref="B62:L62"/>
    <mergeCell ref="B61:L61"/>
    <mergeCell ref="B75:C75"/>
    <mergeCell ref="B76:C76"/>
    <mergeCell ref="B77:C77"/>
    <mergeCell ref="D77:F77"/>
    <mergeCell ref="B73:C73"/>
    <mergeCell ref="B74:C74"/>
    <mergeCell ref="H71:L72"/>
    <mergeCell ref="B70:F70"/>
    <mergeCell ref="C64:D64"/>
    <mergeCell ref="B2:L2"/>
    <mergeCell ref="B3:L3"/>
    <mergeCell ref="B18:L18"/>
    <mergeCell ref="C5:I5"/>
    <mergeCell ref="K5:L5"/>
    <mergeCell ref="C6:I6"/>
    <mergeCell ref="K6:L6"/>
    <mergeCell ref="C7:I7"/>
    <mergeCell ref="K7:L7"/>
    <mergeCell ref="J4:L4"/>
  </mergeCells>
  <phoneticPr fontId="84" type="noConversion"/>
  <conditionalFormatting sqref="D76">
    <cfRule type="cellIs" dxfId="139" priority="151" operator="greaterThan">
      <formula>0</formula>
    </cfRule>
  </conditionalFormatting>
  <conditionalFormatting sqref="D76">
    <cfRule type="cellIs" dxfId="138" priority="149" operator="greaterThan">
      <formula>0</formula>
    </cfRule>
    <cfRule type="cellIs" dxfId="137" priority="150" operator="greaterThan">
      <formula>0</formula>
    </cfRule>
  </conditionalFormatting>
  <conditionalFormatting sqref="E76">
    <cfRule type="cellIs" dxfId="136" priority="148" operator="greaterThan">
      <formula>0</formula>
    </cfRule>
  </conditionalFormatting>
  <conditionalFormatting sqref="E76">
    <cfRule type="cellIs" dxfId="135" priority="146" operator="greaterThan">
      <formula>0</formula>
    </cfRule>
    <cfRule type="cellIs" dxfId="134" priority="147" operator="greaterThan">
      <formula>0</formula>
    </cfRule>
  </conditionalFormatting>
  <conditionalFormatting sqref="C28:L29 C37:L37">
    <cfRule type="containsText" dxfId="133" priority="144" operator="containsText" text="ESCALATE">
      <formula>NOT(ISERROR(SEARCH("ESCALATE",C28)))</formula>
    </cfRule>
  </conditionalFormatting>
  <conditionalFormatting sqref="C58">
    <cfRule type="expression" dxfId="132" priority="33">
      <formula>AND(C$52="Yes",C$58="")</formula>
    </cfRule>
    <cfRule type="expression" dxfId="131" priority="102">
      <formula>C$10="Residential"</formula>
    </cfRule>
    <cfRule type="cellIs" dxfId="130" priority="132" operator="greaterThan">
      <formula>$C$22</formula>
    </cfRule>
    <cfRule type="cellIs" dxfId="129" priority="133" operator="greaterThan">
      <formula>$C$22</formula>
    </cfRule>
  </conditionalFormatting>
  <conditionalFormatting sqref="D21">
    <cfRule type="expression" dxfId="128" priority="129">
      <formula>D$11="Owner Occupied"</formula>
    </cfRule>
  </conditionalFormatting>
  <conditionalFormatting sqref="D22">
    <cfRule type="expression" dxfId="127" priority="128">
      <formula>D$11="Owner Occupied"</formula>
    </cfRule>
  </conditionalFormatting>
  <conditionalFormatting sqref="D20">
    <cfRule type="expression" dxfId="126" priority="126">
      <formula>D$11="Tenant"</formula>
    </cfRule>
    <cfRule type="expression" dxfId="125" priority="127">
      <formula>D$11="Vacant"</formula>
    </cfRule>
  </conditionalFormatting>
  <conditionalFormatting sqref="B45:L45">
    <cfRule type="expression" dxfId="124" priority="125">
      <formula>$B$45="COMPLETE THE PRIVATE FLOOD INS CHECKLIST TAB"</formula>
    </cfRule>
  </conditionalFormatting>
  <conditionalFormatting sqref="B49:L49">
    <cfRule type="expression" dxfId="123" priority="124">
      <formula>$B$49="STOP! LOAN CANNOT CLOSE UNTIL ON OR AFTER THE COVERAGE EFFECTIVE DATE."</formula>
    </cfRule>
  </conditionalFormatting>
  <conditionalFormatting sqref="C47">
    <cfRule type="expression" dxfId="122" priority="119">
      <formula>$C$7&lt;C$47</formula>
    </cfRule>
  </conditionalFormatting>
  <conditionalFormatting sqref="D47:L47">
    <cfRule type="expression" dxfId="121" priority="118">
      <formula>$C$7&lt;D$47</formula>
    </cfRule>
  </conditionalFormatting>
  <conditionalFormatting sqref="C20">
    <cfRule type="expression" dxfId="120" priority="113">
      <formula>C$11="Tenant"</formula>
    </cfRule>
    <cfRule type="expression" dxfId="119" priority="114">
      <formula>C$11="Vacant"</formula>
    </cfRule>
  </conditionalFormatting>
  <conditionalFormatting sqref="D20:L20">
    <cfRule type="expression" dxfId="118" priority="107">
      <formula>D$11="Tenant"</formula>
    </cfRule>
    <cfRule type="expression" dxfId="117" priority="108">
      <formula>D$11="Vacant"</formula>
    </cfRule>
  </conditionalFormatting>
  <conditionalFormatting sqref="F20:L20">
    <cfRule type="expression" dxfId="116" priority="109">
      <formula>F$11="Tenant"</formula>
    </cfRule>
    <cfRule type="expression" dxfId="115" priority="110">
      <formula>F$11="Vacant"</formula>
    </cfRule>
  </conditionalFormatting>
  <conditionalFormatting sqref="F21:L21">
    <cfRule type="expression" dxfId="114" priority="112">
      <formula>F$11="Owner Occupied"</formula>
    </cfRule>
  </conditionalFormatting>
  <conditionalFormatting sqref="F22:L22">
    <cfRule type="expression" dxfId="113" priority="111">
      <formula>F$11="Owner Occupied"</formula>
    </cfRule>
  </conditionalFormatting>
  <conditionalFormatting sqref="C64">
    <cfRule type="containsBlanks" dxfId="112" priority="152">
      <formula>LEN(TRIM(C64))=0</formula>
    </cfRule>
  </conditionalFormatting>
  <conditionalFormatting sqref="H71:L72">
    <cfRule type="expression" dxfId="111" priority="153">
      <formula>$H$71&lt;&gt;""</formula>
    </cfRule>
  </conditionalFormatting>
  <conditionalFormatting sqref="D77">
    <cfRule type="containsText" dxfId="110" priority="104" operator="containsText" text="NO">
      <formula>NOT(ISERROR(SEARCH("NO",D77)))</formula>
    </cfRule>
  </conditionalFormatting>
  <conditionalFormatting sqref="D77:F77">
    <cfRule type="expression" dxfId="109" priority="98">
      <formula>$D$77="YES"</formula>
    </cfRule>
  </conditionalFormatting>
  <conditionalFormatting sqref="C5">
    <cfRule type="containsBlanks" dxfId="108" priority="97">
      <formula>LEN(TRIM(C5))=0</formula>
    </cfRule>
  </conditionalFormatting>
  <conditionalFormatting sqref="C7">
    <cfRule type="containsBlanks" dxfId="107" priority="96">
      <formula>LEN(TRIM(C7))=0</formula>
    </cfRule>
  </conditionalFormatting>
  <conditionalFormatting sqref="C6">
    <cfRule type="containsBlanks" dxfId="106" priority="95">
      <formula>LEN(TRIM(C6))=0</formula>
    </cfRule>
  </conditionalFormatting>
  <conditionalFormatting sqref="K5">
    <cfRule type="containsBlanks" dxfId="105" priority="94">
      <formula>LEN(TRIM(K5))=0</formula>
    </cfRule>
  </conditionalFormatting>
  <conditionalFormatting sqref="K6">
    <cfRule type="containsBlanks" dxfId="104" priority="93">
      <formula>LEN(TRIM(K6))=0</formula>
    </cfRule>
  </conditionalFormatting>
  <conditionalFormatting sqref="K7">
    <cfRule type="containsBlanks" dxfId="103" priority="92">
      <formula>LEN(TRIM(K7))=0</formula>
    </cfRule>
  </conditionalFormatting>
  <conditionalFormatting sqref="C21">
    <cfRule type="expression" dxfId="102" priority="91">
      <formula>C$11="Owner Occupied"</formula>
    </cfRule>
  </conditionalFormatting>
  <conditionalFormatting sqref="C22">
    <cfRule type="expression" dxfId="101" priority="90">
      <formula>C$11="Owner Occupied"</formula>
    </cfRule>
  </conditionalFormatting>
  <conditionalFormatting sqref="C52">
    <cfRule type="expression" dxfId="100" priority="38">
      <formula>AND(C$10="Commercial",C$52&lt;&gt;"")</formula>
    </cfRule>
    <cfRule type="expression" dxfId="99" priority="45">
      <formula>C$10="Commercial"</formula>
    </cfRule>
  </conditionalFormatting>
  <conditionalFormatting sqref="C54:C55 C57:C60">
    <cfRule type="expression" dxfId="98" priority="79">
      <formula>C$10="Residential"</formula>
    </cfRule>
  </conditionalFormatting>
  <conditionalFormatting sqref="C20:C28">
    <cfRule type="expression" dxfId="97" priority="72">
      <formula>OR(C$10="Commercial",C$10="Other")</formula>
    </cfRule>
  </conditionalFormatting>
  <conditionalFormatting sqref="D20">
    <cfRule type="expression" dxfId="96" priority="70">
      <formula>D$11="Tenant"</formula>
    </cfRule>
    <cfRule type="expression" dxfId="95" priority="71">
      <formula>D$11="Vacant"</formula>
    </cfRule>
  </conditionalFormatting>
  <conditionalFormatting sqref="D21">
    <cfRule type="expression" dxfId="94" priority="69">
      <formula>D$11="Owner Occupied"</formula>
    </cfRule>
  </conditionalFormatting>
  <conditionalFormatting sqref="D22">
    <cfRule type="expression" dxfId="93" priority="68">
      <formula>D$11="Owner Occupied"</formula>
    </cfRule>
  </conditionalFormatting>
  <conditionalFormatting sqref="D20">
    <cfRule type="expression" dxfId="92" priority="65">
      <formula>D$11="Tenant"</formula>
    </cfRule>
    <cfRule type="expression" dxfId="91" priority="66">
      <formula>D$11="Vacant"</formula>
    </cfRule>
  </conditionalFormatting>
  <conditionalFormatting sqref="D21">
    <cfRule type="expression" dxfId="90" priority="64">
      <formula>D$11="Owner Occupied"</formula>
    </cfRule>
  </conditionalFormatting>
  <conditionalFormatting sqref="D22">
    <cfRule type="expression" dxfId="89" priority="63">
      <formula>D$11="Owner Occupied"</formula>
    </cfRule>
  </conditionalFormatting>
  <conditionalFormatting sqref="D20:D28">
    <cfRule type="expression" dxfId="88" priority="62">
      <formula>OR(D$10="Commercial",D$10="Other")</formula>
    </cfRule>
  </conditionalFormatting>
  <conditionalFormatting sqref="E21:L21">
    <cfRule type="expression" dxfId="87" priority="61">
      <formula>E$11="Owner Occupied"</formula>
    </cfRule>
  </conditionalFormatting>
  <conditionalFormatting sqref="E22:L22">
    <cfRule type="expression" dxfId="86" priority="60">
      <formula>E$11="Owner Occupied"</formula>
    </cfRule>
  </conditionalFormatting>
  <conditionalFormatting sqref="E20:L20">
    <cfRule type="expression" dxfId="85" priority="58">
      <formula>E$11="Tenant"</formula>
    </cfRule>
    <cfRule type="expression" dxfId="84" priority="59">
      <formula>E$11="Vacant"</formula>
    </cfRule>
  </conditionalFormatting>
  <conditionalFormatting sqref="E20:L20">
    <cfRule type="expression" dxfId="83" priority="56">
      <formula>E$11="Tenant"</formula>
    </cfRule>
    <cfRule type="expression" dxfId="82" priority="57">
      <formula>E$11="Vacant"</formula>
    </cfRule>
  </conditionalFormatting>
  <conditionalFormatting sqref="E21:L21">
    <cfRule type="expression" dxfId="81" priority="55">
      <formula>E$11="Owner Occupied"</formula>
    </cfRule>
  </conditionalFormatting>
  <conditionalFormatting sqref="E22:L22">
    <cfRule type="expression" dxfId="80" priority="54">
      <formula>E$11="Owner Occupied"</formula>
    </cfRule>
  </conditionalFormatting>
  <conditionalFormatting sqref="E20:L20">
    <cfRule type="expression" dxfId="79" priority="52">
      <formula>E$11="Tenant"</formula>
    </cfRule>
    <cfRule type="expression" dxfId="78" priority="53">
      <formula>E$11="Vacant"</formula>
    </cfRule>
  </conditionalFormatting>
  <conditionalFormatting sqref="E21:L21">
    <cfRule type="expression" dxfId="77" priority="51">
      <formula>E$11="Owner Occupied"</formula>
    </cfRule>
  </conditionalFormatting>
  <conditionalFormatting sqref="E22:L22">
    <cfRule type="expression" dxfId="76" priority="50">
      <formula>E$11="Owner Occupied"</formula>
    </cfRule>
  </conditionalFormatting>
  <conditionalFormatting sqref="E20:L28">
    <cfRule type="expression" dxfId="75" priority="49">
      <formula>OR(E$10="Commercial",E$10="Other")</formula>
    </cfRule>
  </conditionalFormatting>
  <conditionalFormatting sqref="C31:C37">
    <cfRule type="expression" dxfId="74" priority="48">
      <formula>C$10="Residential"</formula>
    </cfRule>
  </conditionalFormatting>
  <conditionalFormatting sqref="D31:D37">
    <cfRule type="expression" dxfId="73" priority="47">
      <formula>D$10="Residential"</formula>
    </cfRule>
  </conditionalFormatting>
  <conditionalFormatting sqref="E31:L37">
    <cfRule type="expression" dxfId="72" priority="46">
      <formula>E$10="Residential"</formula>
    </cfRule>
  </conditionalFormatting>
  <conditionalFormatting sqref="B62:L62">
    <cfRule type="expression" dxfId="71" priority="40">
      <formula>$B$62="Must Answer if Contents Taken as Collateral in Yellow Field"</formula>
    </cfRule>
  </conditionalFormatting>
  <conditionalFormatting sqref="C54">
    <cfRule type="expression" dxfId="70" priority="39">
      <formula>AND(C$52="Yes",C$54="")</formula>
    </cfRule>
  </conditionalFormatting>
  <conditionalFormatting sqref="D52:L52">
    <cfRule type="expression" dxfId="69" priority="35">
      <formula>AND(D$10="Commercial",D$52&lt;&gt;"")</formula>
    </cfRule>
    <cfRule type="expression" dxfId="68" priority="36">
      <formula>D$10="Commercial"</formula>
    </cfRule>
    <cfRule type="expression" dxfId="67" priority="37">
      <formula>D$10="Residential"</formula>
    </cfRule>
  </conditionalFormatting>
  <conditionalFormatting sqref="C59">
    <cfRule type="expression" dxfId="66" priority="32">
      <formula>AND(C$52="Yes",C$59="")</formula>
    </cfRule>
  </conditionalFormatting>
  <conditionalFormatting sqref="C60">
    <cfRule type="expression" dxfId="65" priority="31">
      <formula>AND(C$52="Yes",C$60="")</formula>
    </cfRule>
  </conditionalFormatting>
  <conditionalFormatting sqref="C56">
    <cfRule type="expression" dxfId="64" priority="16">
      <formula>$C$10="Residential"</formula>
    </cfRule>
    <cfRule type="expression" dxfId="63" priority="18">
      <formula>AND(C$56="",C$52="Yes")</formula>
    </cfRule>
  </conditionalFormatting>
  <conditionalFormatting sqref="B61:L61">
    <cfRule type="expression" dxfId="62" priority="17">
      <formula>B61&lt;&gt;""</formula>
    </cfRule>
  </conditionalFormatting>
  <conditionalFormatting sqref="D78:F78">
    <cfRule type="expression" dxfId="61" priority="15">
      <formula>$B$79="NO"</formula>
    </cfRule>
  </conditionalFormatting>
  <conditionalFormatting sqref="C54:C60">
    <cfRule type="expression" dxfId="60" priority="12">
      <formula>C$52="No"</formula>
    </cfRule>
  </conditionalFormatting>
  <conditionalFormatting sqref="D58:L58">
    <cfRule type="expression" dxfId="59" priority="6">
      <formula>AND(D$52="Yes",D$58="")</formula>
    </cfRule>
    <cfRule type="expression" dxfId="58" priority="9">
      <formula>D$10="Residential"</formula>
    </cfRule>
    <cfRule type="cellIs" dxfId="57" priority="10" operator="greaterThan">
      <formula>$C$22</formula>
    </cfRule>
    <cfRule type="cellIs" dxfId="56" priority="11" operator="greaterThan">
      <formula>$C$22</formula>
    </cfRule>
  </conditionalFormatting>
  <conditionalFormatting sqref="D52:L60">
    <cfRule type="expression" dxfId="55" priority="8">
      <formula>D$10="Residential"</formula>
    </cfRule>
  </conditionalFormatting>
  <conditionalFormatting sqref="D54:L54">
    <cfRule type="expression" dxfId="54" priority="7">
      <formula>AND(D$52="Yes",D$54="")</formula>
    </cfRule>
  </conditionalFormatting>
  <conditionalFormatting sqref="D59:L59">
    <cfRule type="expression" dxfId="53" priority="5">
      <formula>AND(D$52="Yes",D$59="")</formula>
    </cfRule>
  </conditionalFormatting>
  <conditionalFormatting sqref="D60:L60">
    <cfRule type="expression" dxfId="52" priority="4">
      <formula>AND(D$52="Yes",D$60="")</formula>
    </cfRule>
  </conditionalFormatting>
  <conditionalFormatting sqref="D56:L56">
    <cfRule type="expression" dxfId="51" priority="2">
      <formula>$C$10="Residential"</formula>
    </cfRule>
    <cfRule type="expression" dxfId="50" priority="3">
      <formula>AND(D$56="",D$52="Yes")</formula>
    </cfRule>
  </conditionalFormatting>
  <conditionalFormatting sqref="D54:L60">
    <cfRule type="expression" dxfId="49" priority="1">
      <formula>D$52="No"</formula>
    </cfRule>
  </conditionalFormatting>
  <conditionalFormatting sqref="C52:C60">
    <cfRule type="expression" dxfId="48" priority="81">
      <formula>C$10="Residential"</formula>
    </cfRule>
  </conditionalFormatting>
  <dataValidations count="9">
    <dataValidation type="list" allowBlank="1" showInputMessage="1" showErrorMessage="1" sqref="C11:L11" xr:uid="{A23E3BE4-E479-4487-86C0-6C1E7DBA31D7}">
      <formula1>"Owner Occupied, Vacant, Tenant, N/A"</formula1>
    </dataValidation>
    <dataValidation type="list" allowBlank="1" showInputMessage="1" showErrorMessage="1" sqref="K5:L5" xr:uid="{6620EF59-0EC5-47AD-B6B5-471C6BFD131D}">
      <formula1>"Dothan, Jacksonville, Pooler, Tifton, Other, Northern"</formula1>
    </dataValidation>
    <dataValidation type="list" allowBlank="1" showInputMessage="1" showErrorMessage="1" sqref="C44:L44" xr:uid="{55BD442B-7442-4152-8F6F-F5BF67D41CFA}">
      <formula1>"NFIP Policy, Private Policy, Mutual Aid Society"</formula1>
    </dataValidation>
    <dataValidation type="custom" allowBlank="1" showInputMessage="1" showErrorMessage="1" errorTitle="Insurable Value Error!" error="Appraisal - Indicated by Cost Approach is not valid for Owner Occupied Residential Properties." sqref="C21:L21" xr:uid="{EE508E7E-35E4-4601-89D9-2C5104E5B3F9}">
      <formula1>C11&lt;&gt;"Owner Occupied"</formula1>
    </dataValidation>
    <dataValidation type="custom" allowBlank="1" showInputMessage="1" showErrorMessage="1" errorTitle="Insurable Value Error!" error="Appraisal - Total Estimate of Cost-New Value is Only Valid for Owner Occupied Residential Properties." sqref="C20:L20" xr:uid="{499026C7-0A73-4413-98DD-B1AA7FC511A6}">
      <formula1>C11="Owner Occupied"</formula1>
    </dataValidation>
    <dataValidation type="custom" allowBlank="1" showInputMessage="1" showErrorMessage="1" errorTitle="Content Coverage Error!" error="Only Enter Amount in Force for Commercial/Other Residential Properties." sqref="C58:L58" xr:uid="{1B69D2D1-286C-45BF-9FCC-9FC71C3070E7}">
      <formula1>C10&lt;&gt;"Residential"</formula1>
    </dataValidation>
    <dataValidation type="list" allowBlank="1" showInputMessage="1" showErrorMessage="1" sqref="C52:L52" xr:uid="{1BCDA258-A294-4D32-BA95-19A01DB8674A}">
      <formula1>"Yes, No"</formula1>
    </dataValidation>
    <dataValidation type="custom" allowBlank="1" showInputMessage="1" showErrorMessage="1" errorTitle="Property Type Error!" error="Content Coverage for Residential Properties should not be entered." sqref="D56:L56" xr:uid="{DD4B4112-BEBA-42DD-99AF-4D4B67F8EC24}">
      <formula1>D10&lt;&gt;"Residential"</formula1>
    </dataValidation>
    <dataValidation type="custom" allowBlank="1" showInputMessage="1" showErrorMessage="1" errorTitle="Property Type Error!" error="Content Coverage for Residential Properties should not be entered." sqref="C57:L57" xr:uid="{87A20E3D-A35A-4FE2-AF9B-A7B42CA7AD62}">
      <formula1>C10&lt;&gt;"Residential"</formula1>
    </dataValidation>
  </dataValidations>
  <printOptions horizontalCentered="1"/>
  <pageMargins left="0" right="0" top="0.25" bottom="0.25" header="0.25" footer="0.25"/>
  <pageSetup scale="58" fitToHeight="0" orientation="landscape" r:id="rId1"/>
  <rowBreaks count="1" manualBreakCount="1">
    <brk id="50"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18450" r:id="rId4" name="Button 18">
              <controlPr defaultSize="0" print="0" autoFill="0" autoPict="0" macro="[0]!RESCOM_ClearForm">
                <anchor moveWithCells="1" sizeWithCells="1">
                  <from>
                    <xdr:col>13</xdr:col>
                    <xdr:colOff>411480</xdr:colOff>
                    <xdr:row>3</xdr:row>
                    <xdr:rowOff>160020</xdr:rowOff>
                  </from>
                  <to>
                    <xdr:col>17</xdr:col>
                    <xdr:colOff>251460</xdr:colOff>
                    <xdr:row>7</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24F760F-4278-4D5B-98F5-32FE616FB127}">
          <x14:formula1>
            <xm:f>'Drop Down'!$A$2:$A$4</xm:f>
          </x14:formula1>
          <xm:sqref>C10:L10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00"/>
  </sheetPr>
  <dimension ref="A1:Q59"/>
  <sheetViews>
    <sheetView zoomScale="70" zoomScaleNormal="70" workbookViewId="0">
      <selection activeCell="I15" sqref="I15"/>
    </sheetView>
  </sheetViews>
  <sheetFormatPr defaultRowHeight="14.4" x14ac:dyDescent="0.3"/>
  <cols>
    <col min="1" max="1" width="2.5546875" customWidth="1"/>
    <col min="2" max="2" width="57.44140625" customWidth="1"/>
    <col min="3" max="3" width="20.109375" style="183" customWidth="1"/>
    <col min="4" max="4" width="21" customWidth="1"/>
    <col min="5" max="5" width="21.109375" customWidth="1"/>
    <col min="6" max="6" width="17.5546875" customWidth="1"/>
    <col min="7" max="7" width="18.44140625" customWidth="1"/>
    <col min="8" max="8" width="17.44140625" customWidth="1"/>
    <col min="9" max="9" width="17.5546875" customWidth="1"/>
    <col min="10" max="11" width="17.88671875" customWidth="1"/>
    <col min="12" max="12" width="17.44140625" customWidth="1"/>
    <col min="13" max="13" width="6.109375" customWidth="1"/>
    <col min="16" max="16" width="12.88671875" customWidth="1"/>
  </cols>
  <sheetData>
    <row r="1" spans="2:17" ht="6" customHeight="1" thickBot="1" x14ac:dyDescent="0.35"/>
    <row r="2" spans="2:17" ht="56.4" customHeight="1" x14ac:dyDescent="0.3">
      <c r="B2" s="366" t="s">
        <v>169</v>
      </c>
      <c r="C2" s="367"/>
      <c r="D2" s="367"/>
      <c r="E2" s="367"/>
      <c r="F2" s="367"/>
      <c r="G2" s="367"/>
      <c r="H2" s="367"/>
      <c r="I2" s="367"/>
      <c r="J2" s="367"/>
      <c r="K2" s="367"/>
      <c r="L2" s="368"/>
    </row>
    <row r="3" spans="2:17" ht="15.6" x14ac:dyDescent="0.3">
      <c r="B3" s="369" t="s">
        <v>0</v>
      </c>
      <c r="C3" s="370"/>
      <c r="D3" s="370"/>
      <c r="E3" s="370"/>
      <c r="F3" s="370"/>
      <c r="G3" s="370"/>
      <c r="H3" s="370"/>
      <c r="I3" s="370"/>
      <c r="J3" s="370"/>
      <c r="K3" s="370"/>
      <c r="L3" s="371"/>
      <c r="N3" s="216"/>
      <c r="O3" s="216"/>
      <c r="P3" s="216"/>
      <c r="Q3" s="216"/>
    </row>
    <row r="4" spans="2:17" ht="15.6" x14ac:dyDescent="0.3">
      <c r="B4" s="369" t="s">
        <v>1</v>
      </c>
      <c r="C4" s="370"/>
      <c r="D4" s="370"/>
      <c r="E4" s="370"/>
      <c r="F4" s="370"/>
      <c r="G4" s="370"/>
      <c r="H4" s="370"/>
      <c r="I4" s="370"/>
      <c r="J4" s="370"/>
      <c r="K4" s="370"/>
      <c r="L4" s="371"/>
      <c r="N4" s="216"/>
      <c r="O4" s="216"/>
      <c r="P4" s="216"/>
      <c r="Q4" s="216"/>
    </row>
    <row r="5" spans="2:17" ht="15.6" x14ac:dyDescent="0.3">
      <c r="B5" s="81" t="s">
        <v>2</v>
      </c>
      <c r="C5" s="324"/>
      <c r="D5" s="325"/>
      <c r="E5" s="325"/>
      <c r="F5" s="325"/>
      <c r="G5" s="325"/>
      <c r="H5" s="325"/>
      <c r="I5" s="325"/>
      <c r="J5" s="81" t="s">
        <v>103</v>
      </c>
      <c r="K5" s="324"/>
      <c r="L5" s="326"/>
      <c r="N5" s="216"/>
      <c r="O5" s="216"/>
      <c r="P5" s="216"/>
      <c r="Q5" s="216"/>
    </row>
    <row r="6" spans="2:17" ht="15.6" x14ac:dyDescent="0.3">
      <c r="B6" s="81" t="s">
        <v>3</v>
      </c>
      <c r="C6" s="324"/>
      <c r="D6" s="325"/>
      <c r="E6" s="325"/>
      <c r="F6" s="325"/>
      <c r="G6" s="325"/>
      <c r="H6" s="325"/>
      <c r="I6" s="325"/>
      <c r="J6" s="81" t="s">
        <v>104</v>
      </c>
      <c r="K6" s="324"/>
      <c r="L6" s="326"/>
      <c r="N6" s="216"/>
      <c r="O6" s="216"/>
      <c r="P6" s="216"/>
      <c r="Q6" s="216"/>
    </row>
    <row r="7" spans="2:17" ht="16.2" thickBot="1" x14ac:dyDescent="0.35">
      <c r="B7" s="81" t="s">
        <v>4</v>
      </c>
      <c r="C7" s="385"/>
      <c r="D7" s="386"/>
      <c r="E7" s="386"/>
      <c r="F7" s="386"/>
      <c r="G7" s="386"/>
      <c r="H7" s="386"/>
      <c r="I7" s="386"/>
      <c r="J7" s="81" t="s">
        <v>105</v>
      </c>
      <c r="K7" s="384"/>
      <c r="L7" s="326"/>
      <c r="N7" s="216"/>
      <c r="O7" s="216"/>
      <c r="P7" s="216"/>
      <c r="Q7" s="216"/>
    </row>
    <row r="8" spans="2:17" ht="16.2" thickBot="1" x14ac:dyDescent="0.35">
      <c r="B8" s="82" t="s">
        <v>5</v>
      </c>
      <c r="C8" s="83" t="s">
        <v>62</v>
      </c>
      <c r="D8" s="83" t="s">
        <v>63</v>
      </c>
      <c r="E8" s="83" t="s">
        <v>64</v>
      </c>
      <c r="F8" s="83" t="s">
        <v>65</v>
      </c>
      <c r="G8" s="83" t="s">
        <v>66</v>
      </c>
      <c r="H8" s="83" t="s">
        <v>67</v>
      </c>
      <c r="I8" s="83" t="s">
        <v>68</v>
      </c>
      <c r="J8" s="83" t="s">
        <v>69</v>
      </c>
      <c r="K8" s="83" t="s">
        <v>70</v>
      </c>
      <c r="L8" s="84" t="s">
        <v>71</v>
      </c>
      <c r="N8" s="216"/>
      <c r="O8" s="216"/>
      <c r="P8" s="216"/>
      <c r="Q8" s="216"/>
    </row>
    <row r="9" spans="2:17" ht="15.6" x14ac:dyDescent="0.3">
      <c r="B9" s="85" t="s">
        <v>11</v>
      </c>
      <c r="C9" s="184"/>
      <c r="D9" s="2"/>
      <c r="E9" s="2"/>
      <c r="F9" s="2"/>
      <c r="G9" s="2"/>
      <c r="H9" s="2"/>
      <c r="I9" s="2"/>
      <c r="J9" s="2"/>
      <c r="K9" s="2"/>
      <c r="L9" s="3"/>
      <c r="N9" s="216"/>
      <c r="O9" s="216"/>
      <c r="P9" s="216"/>
      <c r="Q9" s="216"/>
    </row>
    <row r="10" spans="2:17" ht="31.2" x14ac:dyDescent="0.3">
      <c r="B10" s="86" t="s">
        <v>122</v>
      </c>
      <c r="C10" s="35"/>
      <c r="D10" s="35"/>
      <c r="E10" s="35"/>
      <c r="F10" s="35"/>
      <c r="G10" s="35"/>
      <c r="H10" s="35"/>
      <c r="I10" s="35"/>
      <c r="J10" s="35"/>
      <c r="K10" s="35"/>
      <c r="L10" s="79"/>
    </row>
    <row r="11" spans="2:17" ht="15.6" x14ac:dyDescent="0.3">
      <c r="B11" s="81" t="s">
        <v>72</v>
      </c>
      <c r="C11" s="36"/>
      <c r="D11" s="36"/>
      <c r="E11" s="36"/>
      <c r="F11" s="36"/>
      <c r="G11" s="36"/>
      <c r="H11" s="36"/>
      <c r="I11" s="36"/>
      <c r="J11" s="36"/>
      <c r="K11" s="36"/>
      <c r="L11" s="80"/>
    </row>
    <row r="12" spans="2:17" s="200" customFormat="1" ht="15.6" x14ac:dyDescent="0.3">
      <c r="B12" s="81" t="s">
        <v>12</v>
      </c>
      <c r="C12" s="9"/>
      <c r="D12" s="9"/>
      <c r="E12" s="9"/>
      <c r="F12" s="9"/>
      <c r="G12" s="9"/>
      <c r="H12" s="9"/>
      <c r="I12" s="9"/>
      <c r="J12" s="9"/>
      <c r="K12" s="9"/>
      <c r="L12" s="10"/>
    </row>
    <row r="13" spans="2:17" ht="15.6" x14ac:dyDescent="0.3">
      <c r="B13" s="81" t="s">
        <v>13</v>
      </c>
      <c r="C13" s="185"/>
      <c r="D13" s="4"/>
      <c r="E13" s="4"/>
      <c r="F13" s="4"/>
      <c r="G13" s="4"/>
      <c r="H13" s="4"/>
      <c r="I13" s="4"/>
      <c r="J13" s="4"/>
      <c r="K13" s="4"/>
      <c r="L13" s="5"/>
    </row>
    <row r="14" spans="2:17" ht="15.6" x14ac:dyDescent="0.3">
      <c r="B14" s="81" t="s">
        <v>14</v>
      </c>
      <c r="C14" s="11"/>
      <c r="D14" s="11"/>
      <c r="E14" s="11"/>
      <c r="F14" s="11"/>
      <c r="G14" s="11"/>
      <c r="H14" s="11"/>
      <c r="I14" s="11"/>
      <c r="J14" s="11"/>
      <c r="K14" s="11"/>
      <c r="L14" s="12"/>
    </row>
    <row r="15" spans="2:17" ht="16.2" thickBot="1" x14ac:dyDescent="0.35">
      <c r="B15" s="87" t="s">
        <v>15</v>
      </c>
      <c r="C15" s="13"/>
      <c r="D15" s="13"/>
      <c r="E15" s="13"/>
      <c r="F15" s="13"/>
      <c r="G15" s="13"/>
      <c r="H15" s="13"/>
      <c r="I15" s="13"/>
      <c r="J15" s="13"/>
      <c r="K15" s="13"/>
      <c r="L15" s="14"/>
    </row>
    <row r="16" spans="2:17" ht="15.6" hidden="1" x14ac:dyDescent="0.3">
      <c r="B16" s="85" t="s">
        <v>16</v>
      </c>
      <c r="C16" s="113"/>
      <c r="D16" s="113"/>
      <c r="E16" s="113"/>
      <c r="F16" s="113"/>
      <c r="G16" s="113"/>
      <c r="H16" s="113"/>
      <c r="I16" s="113"/>
      <c r="J16" s="113"/>
      <c r="K16" s="113"/>
      <c r="L16" s="114"/>
    </row>
    <row r="17" spans="2:13" ht="16.2" hidden="1" thickBot="1" x14ac:dyDescent="0.35">
      <c r="B17" s="87" t="s">
        <v>17</v>
      </c>
      <c r="C17" s="13"/>
      <c r="D17" s="13"/>
      <c r="E17" s="13"/>
      <c r="F17" s="13"/>
      <c r="G17" s="13"/>
      <c r="H17" s="13"/>
      <c r="I17" s="13"/>
      <c r="J17" s="13"/>
      <c r="K17" s="13"/>
      <c r="L17" s="14"/>
    </row>
    <row r="18" spans="2:13" ht="16.2" thickBot="1" x14ac:dyDescent="0.35">
      <c r="B18" s="1"/>
      <c r="C18" s="186"/>
      <c r="D18" s="1"/>
      <c r="E18" s="1"/>
      <c r="F18" s="1"/>
      <c r="G18" s="1"/>
    </row>
    <row r="19" spans="2:13" ht="15.6" x14ac:dyDescent="0.3">
      <c r="B19" s="374" t="s">
        <v>18</v>
      </c>
      <c r="C19" s="375"/>
      <c r="D19" s="375"/>
      <c r="E19" s="375"/>
      <c r="F19" s="375"/>
      <c r="G19" s="375"/>
      <c r="H19" s="375"/>
      <c r="I19" s="375"/>
      <c r="J19" s="375"/>
      <c r="K19" s="375"/>
      <c r="L19" s="376"/>
    </row>
    <row r="20" spans="2:13" ht="15.6" x14ac:dyDescent="0.3">
      <c r="B20" s="88" t="s">
        <v>19</v>
      </c>
      <c r="C20" s="89" t="s">
        <v>62</v>
      </c>
      <c r="D20" s="89" t="s">
        <v>63</v>
      </c>
      <c r="E20" s="89" t="s">
        <v>64</v>
      </c>
      <c r="F20" s="89" t="s">
        <v>65</v>
      </c>
      <c r="G20" s="89" t="s">
        <v>66</v>
      </c>
      <c r="H20" s="89" t="s">
        <v>67</v>
      </c>
      <c r="I20" s="89" t="s">
        <v>68</v>
      </c>
      <c r="J20" s="89" t="s">
        <v>69</v>
      </c>
      <c r="K20" s="89" t="s">
        <v>70</v>
      </c>
      <c r="L20" s="90" t="s">
        <v>71</v>
      </c>
    </row>
    <row r="21" spans="2:13" ht="31.2" x14ac:dyDescent="0.3">
      <c r="B21" s="91" t="s">
        <v>119</v>
      </c>
      <c r="C21" s="92">
        <f>IF(C10="",0,250000)</f>
        <v>0</v>
      </c>
      <c r="D21" s="92">
        <f t="shared" ref="D21:L21" si="0">IF(D10="",0,250000)</f>
        <v>0</v>
      </c>
      <c r="E21" s="92">
        <f t="shared" si="0"/>
        <v>0</v>
      </c>
      <c r="F21" s="92">
        <f t="shared" si="0"/>
        <v>0</v>
      </c>
      <c r="G21" s="92">
        <f t="shared" si="0"/>
        <v>0</v>
      </c>
      <c r="H21" s="92">
        <f t="shared" si="0"/>
        <v>0</v>
      </c>
      <c r="I21" s="92">
        <f t="shared" si="0"/>
        <v>0</v>
      </c>
      <c r="J21" s="92">
        <f t="shared" si="0"/>
        <v>0</v>
      </c>
      <c r="K21" s="92">
        <f t="shared" si="0"/>
        <v>0</v>
      </c>
      <c r="L21" s="93">
        <f t="shared" si="0"/>
        <v>0</v>
      </c>
    </row>
    <row r="22" spans="2:13" ht="15.6" x14ac:dyDescent="0.3">
      <c r="B22" s="115" t="s">
        <v>21</v>
      </c>
      <c r="C22" s="116">
        <f>IF(C10="",0,(C10/C11))</f>
        <v>0</v>
      </c>
      <c r="D22" s="116">
        <f>IF(D10="",0,(D10/D11))</f>
        <v>0</v>
      </c>
      <c r="E22" s="116">
        <f t="shared" ref="E22:L22" si="1">IF(E10="",0,(E10/E11))</f>
        <v>0</v>
      </c>
      <c r="F22" s="116">
        <f t="shared" si="1"/>
        <v>0</v>
      </c>
      <c r="G22" s="116">
        <f t="shared" si="1"/>
        <v>0</v>
      </c>
      <c r="H22" s="116">
        <f t="shared" si="1"/>
        <v>0</v>
      </c>
      <c r="I22" s="116">
        <f t="shared" si="1"/>
        <v>0</v>
      </c>
      <c r="J22" s="116">
        <f t="shared" si="1"/>
        <v>0</v>
      </c>
      <c r="K22" s="116">
        <f t="shared" si="1"/>
        <v>0</v>
      </c>
      <c r="L22" s="117">
        <f t="shared" si="1"/>
        <v>0</v>
      </c>
    </row>
    <row r="23" spans="2:13" ht="15.6" x14ac:dyDescent="0.3">
      <c r="B23" s="91" t="s">
        <v>60</v>
      </c>
      <c r="C23" s="92">
        <f>+IF(C22&lt;C21,C22,C21)</f>
        <v>0</v>
      </c>
      <c r="D23" s="92">
        <f t="shared" ref="D23:L23" si="2">+IF(D22&lt;D21,D22,D21)</f>
        <v>0</v>
      </c>
      <c r="E23" s="92">
        <f t="shared" si="2"/>
        <v>0</v>
      </c>
      <c r="F23" s="92">
        <f t="shared" si="2"/>
        <v>0</v>
      </c>
      <c r="G23" s="92">
        <f t="shared" si="2"/>
        <v>0</v>
      </c>
      <c r="H23" s="92">
        <f t="shared" si="2"/>
        <v>0</v>
      </c>
      <c r="I23" s="92">
        <f t="shared" si="2"/>
        <v>0</v>
      </c>
      <c r="J23" s="92">
        <f t="shared" si="2"/>
        <v>0</v>
      </c>
      <c r="K23" s="92">
        <f t="shared" si="2"/>
        <v>0</v>
      </c>
      <c r="L23" s="93">
        <f t="shared" si="2"/>
        <v>0</v>
      </c>
    </row>
    <row r="24" spans="2:13" ht="22.5" customHeight="1" x14ac:dyDescent="0.3">
      <c r="B24" s="140" t="s">
        <v>141</v>
      </c>
      <c r="C24" s="142"/>
      <c r="D24" s="142"/>
      <c r="E24" s="142"/>
      <c r="F24" s="142"/>
      <c r="G24" s="142"/>
      <c r="H24" s="142"/>
      <c r="I24" s="142"/>
      <c r="J24" s="142"/>
      <c r="K24" s="142"/>
      <c r="L24" s="172"/>
      <c r="M24" s="173"/>
    </row>
    <row r="25" spans="2:13" ht="21.9" customHeight="1" x14ac:dyDescent="0.3">
      <c r="B25" s="363" t="str">
        <f>IF(OR(C24="Private Policy",D24="Private Policy",E24="Private Policy",F24="Private Policy",G24="Private Policy",H24="Private Policy",I24="Private Policy",J24="Private Policy",K24="Private Policy",L24="Private Policy"),"COMPLETE THE PRIVATE FLOOD INS CHECKLIST TAB","")</f>
        <v/>
      </c>
      <c r="C25" s="364"/>
      <c r="D25" s="364"/>
      <c r="E25" s="364"/>
      <c r="F25" s="364"/>
      <c r="G25" s="364"/>
      <c r="H25" s="364"/>
      <c r="I25" s="364"/>
      <c r="J25" s="364"/>
      <c r="K25" s="364"/>
      <c r="L25" s="365"/>
      <c r="M25" s="173"/>
    </row>
    <row r="26" spans="2:13" ht="15.6" x14ac:dyDescent="0.3">
      <c r="B26" s="205" t="s">
        <v>188</v>
      </c>
      <c r="C26" s="18"/>
      <c r="D26" s="18"/>
      <c r="E26" s="18"/>
      <c r="F26" s="18"/>
      <c r="G26" s="18"/>
      <c r="H26" s="18"/>
      <c r="I26" s="18"/>
      <c r="J26" s="18"/>
      <c r="K26" s="18"/>
      <c r="L26" s="45"/>
    </row>
    <row r="27" spans="2:13" ht="15.6" x14ac:dyDescent="0.3">
      <c r="B27" s="192" t="s">
        <v>159</v>
      </c>
      <c r="C27" s="193">
        <f>IF(C26="",0,(C26/C11))</f>
        <v>0</v>
      </c>
      <c r="D27" s="193">
        <f t="shared" ref="D27:L27" si="3">IF(D26="",0,(D26/D11))</f>
        <v>0</v>
      </c>
      <c r="E27" s="193">
        <f t="shared" si="3"/>
        <v>0</v>
      </c>
      <c r="F27" s="193">
        <f t="shared" si="3"/>
        <v>0</v>
      </c>
      <c r="G27" s="193">
        <f t="shared" si="3"/>
        <v>0</v>
      </c>
      <c r="H27" s="193">
        <f t="shared" si="3"/>
        <v>0</v>
      </c>
      <c r="I27" s="193">
        <f t="shared" si="3"/>
        <v>0</v>
      </c>
      <c r="J27" s="193">
        <f t="shared" si="3"/>
        <v>0</v>
      </c>
      <c r="K27" s="193">
        <f t="shared" si="3"/>
        <v>0</v>
      </c>
      <c r="L27" s="215">
        <f t="shared" si="3"/>
        <v>0</v>
      </c>
      <c r="M27" s="141"/>
    </row>
    <row r="28" spans="2:13" ht="15.6" x14ac:dyDescent="0.3">
      <c r="B28" s="81" t="s">
        <v>158</v>
      </c>
      <c r="C28" s="21"/>
      <c r="D28" s="21"/>
      <c r="E28" s="21"/>
      <c r="F28" s="21"/>
      <c r="G28" s="21"/>
      <c r="H28" s="21"/>
      <c r="I28" s="21"/>
      <c r="J28" s="21"/>
      <c r="K28" s="21"/>
      <c r="L28" s="22"/>
    </row>
    <row r="29" spans="2:13" ht="16.2" thickBot="1" x14ac:dyDescent="0.35">
      <c r="B29" s="87" t="s">
        <v>73</v>
      </c>
      <c r="C29" s="23"/>
      <c r="D29" s="23"/>
      <c r="E29" s="23"/>
      <c r="F29" s="23"/>
      <c r="G29" s="23"/>
      <c r="H29" s="23"/>
      <c r="I29" s="23"/>
      <c r="J29" s="23"/>
      <c r="K29" s="23"/>
      <c r="L29" s="24"/>
    </row>
    <row r="30" spans="2:13" ht="27" customHeight="1" x14ac:dyDescent="0.3">
      <c r="B30" s="339" t="str">
        <f>IF(OR($C$7&lt;C28,$C$7&lt;D28,$C$7&lt;E28,$C$7&lt;F28,$C$7&lt;G28,$C$7&lt;H28,$C$7&lt;I28,$C$7&lt;J28,$C$7&lt;K28,$C$7&lt;L28),"STOP! LOAN CANNOT CLOSE UNTIL ON OR AFTER THE COVERAGE EFFECTIVE DATE.","")</f>
        <v/>
      </c>
      <c r="C30" s="339"/>
      <c r="D30" s="339"/>
      <c r="E30" s="339"/>
      <c r="F30" s="339"/>
      <c r="G30" s="339"/>
      <c r="H30" s="339"/>
      <c r="I30" s="339"/>
      <c r="J30" s="339"/>
      <c r="K30" s="339"/>
      <c r="L30" s="339"/>
      <c r="M30" s="173"/>
    </row>
    <row r="31" spans="2:13" ht="16.2" thickBot="1" x14ac:dyDescent="0.35">
      <c r="B31" s="1"/>
      <c r="C31" s="187"/>
      <c r="D31" s="6"/>
      <c r="E31" s="6"/>
      <c r="F31" s="6"/>
      <c r="G31" s="6"/>
    </row>
    <row r="32" spans="2:13" ht="15.6" customHeight="1" x14ac:dyDescent="0.3">
      <c r="B32" s="377" t="s">
        <v>24</v>
      </c>
      <c r="C32" s="378"/>
      <c r="D32" s="378"/>
      <c r="E32" s="378"/>
      <c r="F32" s="378"/>
      <c r="G32" s="378"/>
      <c r="H32" s="378"/>
      <c r="I32" s="378"/>
      <c r="J32" s="378"/>
      <c r="K32" s="378"/>
      <c r="L32" s="379"/>
    </row>
    <row r="33" spans="1:13" ht="15.6" x14ac:dyDescent="0.3">
      <c r="B33" s="94" t="s">
        <v>22</v>
      </c>
      <c r="C33" s="44"/>
      <c r="D33" s="44"/>
      <c r="E33" s="44"/>
      <c r="F33" s="44"/>
      <c r="G33" s="44"/>
      <c r="H33" s="44"/>
      <c r="I33" s="44"/>
      <c r="J33" s="44"/>
      <c r="K33" s="44"/>
      <c r="L33" s="44"/>
    </row>
    <row r="34" spans="1:13" ht="31.2" x14ac:dyDescent="0.3">
      <c r="B34" s="88" t="s">
        <v>30</v>
      </c>
      <c r="C34" s="95" t="s">
        <v>92</v>
      </c>
      <c r="D34" s="95" t="s">
        <v>93</v>
      </c>
      <c r="E34" s="95" t="s">
        <v>94</v>
      </c>
      <c r="F34" s="95" t="s">
        <v>95</v>
      </c>
      <c r="G34" s="95" t="s">
        <v>96</v>
      </c>
      <c r="H34" s="95" t="s">
        <v>97</v>
      </c>
      <c r="I34" s="95" t="s">
        <v>98</v>
      </c>
      <c r="J34" s="95" t="s">
        <v>99</v>
      </c>
      <c r="K34" s="95" t="s">
        <v>100</v>
      </c>
      <c r="L34" s="98" t="s">
        <v>101</v>
      </c>
    </row>
    <row r="35" spans="1:13" ht="15.6" x14ac:dyDescent="0.3">
      <c r="B35" s="81" t="s">
        <v>31</v>
      </c>
      <c r="C35" s="174"/>
      <c r="D35" s="174"/>
      <c r="E35" s="174"/>
      <c r="F35" s="174"/>
      <c r="G35" s="174"/>
      <c r="H35" s="174"/>
      <c r="I35" s="174"/>
      <c r="J35" s="174"/>
      <c r="K35" s="174"/>
      <c r="L35" s="207"/>
    </row>
    <row r="36" spans="1:13" ht="15.6" x14ac:dyDescent="0.3">
      <c r="B36" s="91" t="s">
        <v>20</v>
      </c>
      <c r="C36" s="92">
        <f>IF(C33="No","",IF(C12="Condo - RES",100000,500000))</f>
        <v>500000</v>
      </c>
      <c r="D36" s="92">
        <f t="shared" ref="D36:L36" si="4">IF(D33="No","",IF(D12="Condo - RES",100000,500000))</f>
        <v>500000</v>
      </c>
      <c r="E36" s="92">
        <f t="shared" si="4"/>
        <v>500000</v>
      </c>
      <c r="F36" s="92">
        <f t="shared" si="4"/>
        <v>500000</v>
      </c>
      <c r="G36" s="92">
        <f t="shared" si="4"/>
        <v>500000</v>
      </c>
      <c r="H36" s="92">
        <f t="shared" si="4"/>
        <v>500000</v>
      </c>
      <c r="I36" s="92">
        <f t="shared" si="4"/>
        <v>500000</v>
      </c>
      <c r="J36" s="92">
        <f t="shared" si="4"/>
        <v>500000</v>
      </c>
      <c r="K36" s="92">
        <f t="shared" si="4"/>
        <v>500000</v>
      </c>
      <c r="L36" s="93">
        <f t="shared" si="4"/>
        <v>500000</v>
      </c>
    </row>
    <row r="37" spans="1:13" ht="15.6" x14ac:dyDescent="0.3">
      <c r="B37" s="118" t="s">
        <v>21</v>
      </c>
      <c r="C37" s="119"/>
      <c r="D37" s="119"/>
      <c r="E37" s="119"/>
      <c r="F37" s="119"/>
      <c r="G37" s="119"/>
      <c r="H37" s="119"/>
      <c r="I37" s="119"/>
      <c r="J37" s="119"/>
      <c r="K37" s="119"/>
      <c r="L37" s="208"/>
    </row>
    <row r="38" spans="1:13" ht="15.6" x14ac:dyDescent="0.3">
      <c r="B38" s="91" t="s">
        <v>61</v>
      </c>
      <c r="C38" s="92">
        <f>+IF(C37&lt;C36,C37,C36)</f>
        <v>0</v>
      </c>
      <c r="D38" s="92">
        <f t="shared" ref="D38:L38" si="5">+IF(D37&lt;D36,D37,D36)</f>
        <v>0</v>
      </c>
      <c r="E38" s="92">
        <f t="shared" si="5"/>
        <v>0</v>
      </c>
      <c r="F38" s="92">
        <f t="shared" si="5"/>
        <v>0</v>
      </c>
      <c r="G38" s="92">
        <f t="shared" si="5"/>
        <v>0</v>
      </c>
      <c r="H38" s="92">
        <f t="shared" si="5"/>
        <v>0</v>
      </c>
      <c r="I38" s="92">
        <f t="shared" si="5"/>
        <v>0</v>
      </c>
      <c r="J38" s="92">
        <f t="shared" si="5"/>
        <v>0</v>
      </c>
      <c r="K38" s="92">
        <f t="shared" si="5"/>
        <v>0</v>
      </c>
      <c r="L38" s="93">
        <f t="shared" si="5"/>
        <v>0</v>
      </c>
    </row>
    <row r="39" spans="1:13" ht="15.6" x14ac:dyDescent="0.3">
      <c r="B39" s="81" t="s">
        <v>219</v>
      </c>
      <c r="C39" s="18"/>
      <c r="D39" s="18"/>
      <c r="E39" s="18"/>
      <c r="F39" s="18"/>
      <c r="G39" s="18"/>
      <c r="H39" s="18"/>
      <c r="I39" s="18"/>
      <c r="J39" s="18"/>
      <c r="K39" s="18"/>
      <c r="L39" s="45"/>
    </row>
    <row r="40" spans="1:13" ht="15.6" x14ac:dyDescent="0.3">
      <c r="B40" s="81" t="s">
        <v>158</v>
      </c>
      <c r="C40" s="21"/>
      <c r="D40" s="21"/>
      <c r="E40" s="21"/>
      <c r="F40" s="21"/>
      <c r="G40" s="21"/>
      <c r="H40" s="21"/>
      <c r="I40" s="21"/>
      <c r="J40" s="21"/>
      <c r="K40" s="21"/>
      <c r="L40" s="22"/>
    </row>
    <row r="41" spans="1:13" ht="16.2" thickBot="1" x14ac:dyDescent="0.35">
      <c r="B41" s="87" t="s">
        <v>73</v>
      </c>
      <c r="C41" s="23"/>
      <c r="D41" s="23"/>
      <c r="E41" s="23"/>
      <c r="F41" s="23"/>
      <c r="G41" s="23"/>
      <c r="H41" s="23"/>
      <c r="I41" s="23"/>
      <c r="J41" s="23"/>
      <c r="K41" s="23"/>
      <c r="L41" s="24"/>
    </row>
    <row r="42" spans="1:13" ht="27" customHeight="1" x14ac:dyDescent="0.3">
      <c r="B42" s="339" t="str">
        <f>IF(OR($C$7&lt;C40,$C$7&lt;D40,$C$7&lt;E40,$C$7&lt;F40,$C$7&lt;G40,$C$7&lt;H40,$C$7&lt;I40,$C$7&lt;J40,$C$7&lt;K40,$C$7&lt;L40),"STOP! LOAN CANNOT CLOSE UNTIL ON OR AFTER THE COVERAGE EFFECTIVE DATE.","")</f>
        <v/>
      </c>
      <c r="C42" s="339"/>
      <c r="D42" s="339"/>
      <c r="E42" s="339"/>
      <c r="F42" s="339"/>
      <c r="G42" s="339"/>
      <c r="H42" s="339"/>
      <c r="I42" s="339"/>
      <c r="J42" s="339"/>
      <c r="K42" s="339"/>
      <c r="L42" s="339"/>
      <c r="M42" s="173"/>
    </row>
    <row r="43" spans="1:13" s="200" customFormat="1" ht="27" customHeight="1" thickBot="1" x14ac:dyDescent="0.35">
      <c r="B43" s="307"/>
      <c r="C43" s="307"/>
      <c r="D43" s="307"/>
      <c r="E43" s="307"/>
      <c r="F43" s="307"/>
      <c r="G43" s="307"/>
      <c r="H43" s="308"/>
      <c r="I43" s="308"/>
      <c r="J43" s="308"/>
      <c r="K43" s="308"/>
      <c r="L43" s="308"/>
      <c r="M43" s="252"/>
    </row>
    <row r="44" spans="1:13" ht="18" thickBot="1" x14ac:dyDescent="0.35">
      <c r="B44" s="299" t="s">
        <v>227</v>
      </c>
      <c r="C44" s="292"/>
      <c r="D44" s="292"/>
      <c r="E44" s="292"/>
      <c r="F44" s="292"/>
      <c r="G44" s="293"/>
      <c r="H44" s="301"/>
      <c r="I44" s="301"/>
      <c r="J44" s="301"/>
      <c r="K44" s="301"/>
      <c r="L44" s="301"/>
      <c r="M44" s="173"/>
    </row>
    <row r="45" spans="1:13" ht="27" customHeight="1" thickBot="1" x14ac:dyDescent="0.35">
      <c r="A45" s="251"/>
      <c r="B45" s="295" t="s">
        <v>214</v>
      </c>
      <c r="C45" s="355"/>
      <c r="D45" s="356"/>
      <c r="E45" s="304"/>
      <c r="F45" s="304"/>
      <c r="G45" s="305"/>
      <c r="H45" s="300"/>
      <c r="I45" s="300"/>
      <c r="J45" s="300"/>
      <c r="K45" s="300"/>
      <c r="L45" s="300"/>
      <c r="M45" s="173"/>
    </row>
    <row r="46" spans="1:13" ht="26.25" customHeight="1" thickBot="1" x14ac:dyDescent="0.35">
      <c r="B46" s="298" t="s">
        <v>225</v>
      </c>
      <c r="C46" s="296" t="s">
        <v>220</v>
      </c>
      <c r="D46" s="296" t="s">
        <v>221</v>
      </c>
      <c r="E46" s="296" t="s">
        <v>222</v>
      </c>
      <c r="F46" s="296" t="s">
        <v>223</v>
      </c>
      <c r="G46" s="297" t="s">
        <v>224</v>
      </c>
      <c r="H46" s="291"/>
      <c r="I46" s="291"/>
      <c r="J46" s="291"/>
      <c r="K46" s="291"/>
      <c r="L46" s="291"/>
      <c r="M46" s="173"/>
    </row>
    <row r="47" spans="1:13" ht="40.5" customHeight="1" thickBot="1" x14ac:dyDescent="0.35">
      <c r="B47" s="306" t="s">
        <v>226</v>
      </c>
      <c r="C47" s="302"/>
      <c r="D47" s="302"/>
      <c r="E47" s="302"/>
      <c r="F47" s="302"/>
      <c r="G47" s="303"/>
      <c r="H47" s="290"/>
      <c r="I47" s="290"/>
      <c r="J47" s="290"/>
      <c r="K47" s="290"/>
      <c r="L47" s="290"/>
      <c r="M47" s="173"/>
    </row>
    <row r="48" spans="1:13" ht="15.6" x14ac:dyDescent="0.3">
      <c r="B48" s="294"/>
      <c r="C48" s="290"/>
      <c r="D48" s="290"/>
      <c r="E48" s="290"/>
      <c r="F48" s="290"/>
      <c r="G48" s="290"/>
      <c r="H48" s="290"/>
      <c r="I48" s="290"/>
      <c r="J48" s="290"/>
      <c r="K48" s="290"/>
      <c r="L48" s="290"/>
      <c r="M48" s="173"/>
    </row>
    <row r="49" spans="2:12" ht="14.4" customHeight="1" x14ac:dyDescent="0.3">
      <c r="B49" s="1"/>
      <c r="C49" s="186"/>
      <c r="D49" s="1"/>
      <c r="E49" s="1"/>
      <c r="F49" s="1"/>
      <c r="G49" s="1"/>
    </row>
    <row r="50" spans="2:12" s="200" customFormat="1" ht="15.6" x14ac:dyDescent="0.3">
      <c r="B50" s="198"/>
      <c r="C50" s="199"/>
      <c r="D50" s="199"/>
      <c r="E50" s="199"/>
      <c r="F50" s="199"/>
      <c r="G50" s="199"/>
      <c r="H50" s="199"/>
      <c r="I50" s="199"/>
      <c r="J50" s="199"/>
      <c r="K50" s="199"/>
      <c r="L50" s="199"/>
    </row>
    <row r="51" spans="2:12" ht="16.2" thickBot="1" x14ac:dyDescent="0.35">
      <c r="B51" s="1"/>
      <c r="C51" s="186"/>
      <c r="D51" s="1"/>
      <c r="E51" s="1"/>
      <c r="F51" s="1"/>
      <c r="G51" s="1"/>
    </row>
    <row r="52" spans="2:12" ht="18" thickBot="1" x14ac:dyDescent="0.4">
      <c r="B52" s="380" t="s">
        <v>75</v>
      </c>
      <c r="C52" s="381"/>
      <c r="D52" s="188" t="s">
        <v>160</v>
      </c>
      <c r="E52" s="188" t="s">
        <v>33</v>
      </c>
      <c r="F52" s="180" t="s">
        <v>143</v>
      </c>
      <c r="G52" s="1"/>
    </row>
    <row r="53" spans="2:12" ht="23.25" customHeight="1" x14ac:dyDescent="0.3">
      <c r="B53" s="382" t="s">
        <v>74</v>
      </c>
      <c r="C53" s="383"/>
      <c r="D53" s="190">
        <f>SUM(C45,C47:G47)</f>
        <v>0</v>
      </c>
      <c r="E53" s="190">
        <f>+IF(OR(C33="Yes",D33="Yes",E33="Yes",F33="Yes",G33="Yes",H33="Yes",I33="Yes",J33="Yes",K33="Yes",L33="Yes"),D53,0)</f>
        <v>0</v>
      </c>
      <c r="F53" s="181">
        <f>SUM(D53,E53)</f>
        <v>0</v>
      </c>
      <c r="G53" s="1"/>
      <c r="H53" s="351" t="str">
        <f>IF(OR(C24="Mutual Aid Society",D24="Mutual Aid Society",E24="Mutual Aid Society",F24="Mutual Aid Society",G24="Mutual Aid Society",H24="Mutual Aid Society",I24="Mutual Aid Society",J24="Mutual Aid Society",K24="Mutual Aid Society",L24="Mutual Aid Society"),"CONTACT ^COMPLIANCE QUESTIONS FOR ASSISTANCE WITH MUTUAL AID SOCIETY POLICY.","")</f>
        <v/>
      </c>
      <c r="I53" s="351"/>
      <c r="J53" s="351"/>
      <c r="K53" s="351"/>
      <c r="L53" s="351"/>
    </row>
    <row r="54" spans="2:12" ht="23.25" customHeight="1" x14ac:dyDescent="0.3">
      <c r="B54" s="372" t="s">
        <v>35</v>
      </c>
      <c r="C54" s="373"/>
      <c r="D54" s="191">
        <f>SUM(C23:L23)</f>
        <v>0</v>
      </c>
      <c r="E54" s="191">
        <f>SUM(C38:L38)</f>
        <v>0</v>
      </c>
      <c r="F54" s="182">
        <f>SUM(D54:E54)</f>
        <v>0</v>
      </c>
      <c r="G54" s="7">
        <f>SUM(C26:G26)</f>
        <v>0</v>
      </c>
      <c r="H54" s="351"/>
      <c r="I54" s="351"/>
      <c r="J54" s="351"/>
      <c r="K54" s="351"/>
      <c r="L54" s="351"/>
    </row>
    <row r="55" spans="2:12" ht="23.25" customHeight="1" x14ac:dyDescent="0.3">
      <c r="B55" s="372" t="s">
        <v>36</v>
      </c>
      <c r="C55" s="373"/>
      <c r="D55" s="189">
        <f>+IF(D54&lt;D53,D54,D53)</f>
        <v>0</v>
      </c>
      <c r="E55" s="189">
        <f>+IF(E54&lt;E53,E54,E53)</f>
        <v>0</v>
      </c>
      <c r="F55" s="182">
        <f>+IF(F53&lt;F54,F53,F54)</f>
        <v>0</v>
      </c>
      <c r="G55" s="1"/>
      <c r="H55" s="351"/>
      <c r="I55" s="351"/>
      <c r="J55" s="351"/>
      <c r="K55" s="351"/>
      <c r="L55" s="351"/>
    </row>
    <row r="56" spans="2:12" ht="23.25" customHeight="1" x14ac:dyDescent="0.3">
      <c r="B56" s="372" t="s">
        <v>187</v>
      </c>
      <c r="C56" s="373"/>
      <c r="D56" s="191">
        <f>SUM(C27:L27)</f>
        <v>0</v>
      </c>
      <c r="E56" s="191">
        <f>SUM(C39:L39)</f>
        <v>0</v>
      </c>
      <c r="F56" s="182">
        <f>SUM(D56:E56)</f>
        <v>0</v>
      </c>
      <c r="G56" s="1"/>
    </row>
    <row r="57" spans="2:12" ht="23.25" customHeight="1" x14ac:dyDescent="0.3">
      <c r="B57" s="372" t="s">
        <v>38</v>
      </c>
      <c r="C57" s="373"/>
      <c r="D57" s="191"/>
      <c r="E57" s="191"/>
      <c r="F57" s="182">
        <f>+IF(F55&lt;F56,0,F55-F56)</f>
        <v>0</v>
      </c>
      <c r="G57" s="1"/>
    </row>
    <row r="58" spans="2:12" ht="23.25" customHeight="1" thickBot="1" x14ac:dyDescent="0.35">
      <c r="B58" s="390" t="s">
        <v>102</v>
      </c>
      <c r="C58" s="391"/>
      <c r="D58" s="387" t="str">
        <f>IF(F56&gt;=F55,"YES","NO")</f>
        <v>YES</v>
      </c>
      <c r="E58" s="388"/>
      <c r="F58" s="389"/>
      <c r="G58" s="1"/>
    </row>
    <row r="59" spans="2:12" ht="15.6" x14ac:dyDescent="0.3">
      <c r="B59" s="1"/>
      <c r="C59" s="186"/>
      <c r="D59" s="1"/>
      <c r="E59" s="1"/>
      <c r="F59" s="1"/>
      <c r="G59" s="1"/>
    </row>
  </sheetData>
  <sheetProtection algorithmName="SHA-512" hashValue="MXLEeGiCtfgtCaUK3a6nwAgULZUUt7R/kJXY9rJOKZ2/9Qf+IpkhzFyz0jhjAaT1D0pyvr99lgv6KD4ju2fIbw==" saltValue="bQBmm/wgE0vOI6c2GpaUZg==" spinCount="100000" sheet="1" selectLockedCells="1"/>
  <mergeCells count="24">
    <mergeCell ref="B25:L25"/>
    <mergeCell ref="H53:L55"/>
    <mergeCell ref="B4:L4"/>
    <mergeCell ref="D58:F58"/>
    <mergeCell ref="C45:D45"/>
    <mergeCell ref="B30:L30"/>
    <mergeCell ref="B42:L42"/>
    <mergeCell ref="B58:C58"/>
    <mergeCell ref="B2:L2"/>
    <mergeCell ref="B3:L3"/>
    <mergeCell ref="B56:C56"/>
    <mergeCell ref="B57:C57"/>
    <mergeCell ref="B19:L19"/>
    <mergeCell ref="B32:L32"/>
    <mergeCell ref="B52:C52"/>
    <mergeCell ref="B53:C53"/>
    <mergeCell ref="B54:C54"/>
    <mergeCell ref="B55:C55"/>
    <mergeCell ref="K5:L5"/>
    <mergeCell ref="K6:L6"/>
    <mergeCell ref="K7:L7"/>
    <mergeCell ref="C5:I5"/>
    <mergeCell ref="C6:I6"/>
    <mergeCell ref="C7:I7"/>
  </mergeCells>
  <conditionalFormatting sqref="C39">
    <cfRule type="cellIs" dxfId="47" priority="51" operator="greaterThan">
      <formula>$C$22</formula>
    </cfRule>
    <cfRule type="cellIs" dxfId="46" priority="52" operator="greaterThan">
      <formula>$C$22</formula>
    </cfRule>
  </conditionalFormatting>
  <conditionalFormatting sqref="D39:L39">
    <cfRule type="cellIs" dxfId="45" priority="49" operator="greaterThan">
      <formula>$C$22</formula>
    </cfRule>
    <cfRule type="cellIs" dxfId="44" priority="50" operator="greaterThan">
      <formula>$C$22</formula>
    </cfRule>
  </conditionalFormatting>
  <conditionalFormatting sqref="E57">
    <cfRule type="cellIs" dxfId="43" priority="42" operator="greaterThan">
      <formula>0</formula>
    </cfRule>
  </conditionalFormatting>
  <conditionalFormatting sqref="E57">
    <cfRule type="cellIs" dxfId="42" priority="40" operator="greaterThan">
      <formula>0</formula>
    </cfRule>
    <cfRule type="cellIs" dxfId="41" priority="41" operator="greaterThan">
      <formula>0</formula>
    </cfRule>
  </conditionalFormatting>
  <conditionalFormatting sqref="C50:L50">
    <cfRule type="cellIs" dxfId="40" priority="39" operator="greaterThan">
      <formula>0.01</formula>
    </cfRule>
  </conditionalFormatting>
  <conditionalFormatting sqref="D58">
    <cfRule type="containsText" dxfId="39" priority="34" operator="containsText" text="NO">
      <formula>NOT(ISERROR(SEARCH("NO",D58)))</formula>
    </cfRule>
    <cfRule type="containsText" dxfId="38" priority="38" operator="containsText" text="Yes">
      <formula>NOT(ISERROR(SEARCH("Yes",D58)))</formula>
    </cfRule>
  </conditionalFormatting>
  <conditionalFormatting sqref="D57">
    <cfRule type="cellIs" dxfId="37" priority="37" operator="greaterThan">
      <formula>0</formula>
    </cfRule>
  </conditionalFormatting>
  <conditionalFormatting sqref="D57">
    <cfRule type="cellIs" dxfId="36" priority="35" operator="greaterThan">
      <formula>0</formula>
    </cfRule>
    <cfRule type="cellIs" dxfId="35" priority="36" operator="greaterThan">
      <formula>0</formula>
    </cfRule>
  </conditionalFormatting>
  <conditionalFormatting sqref="C5">
    <cfRule type="containsBlanks" dxfId="34" priority="33">
      <formula>LEN(TRIM(C5))=0</formula>
    </cfRule>
  </conditionalFormatting>
  <conditionalFormatting sqref="C7">
    <cfRule type="containsBlanks" dxfId="33" priority="31">
      <formula>LEN(TRIM(C7))=0</formula>
    </cfRule>
  </conditionalFormatting>
  <conditionalFormatting sqref="K6">
    <cfRule type="containsBlanks" dxfId="32" priority="27">
      <formula>LEN(TRIM(K6))=0</formula>
    </cfRule>
  </conditionalFormatting>
  <conditionalFormatting sqref="K7">
    <cfRule type="containsBlanks" dxfId="31" priority="26">
      <formula>LEN(TRIM(K7))=0</formula>
    </cfRule>
  </conditionalFormatting>
  <conditionalFormatting sqref="C6">
    <cfRule type="containsBlanks" dxfId="30" priority="25">
      <formula>LEN(TRIM(C6))=0</formula>
    </cfRule>
  </conditionalFormatting>
  <conditionalFormatting sqref="K5">
    <cfRule type="containsBlanks" dxfId="29" priority="24">
      <formula>LEN(TRIM(K5))=0</formula>
    </cfRule>
  </conditionalFormatting>
  <conditionalFormatting sqref="B25:L25">
    <cfRule type="expression" dxfId="28" priority="22">
      <formula>$B$25="COMPLETE THE PRIVATE FLOOD INS CHECKLIST TAB"</formula>
    </cfRule>
  </conditionalFormatting>
  <conditionalFormatting sqref="H53:L55">
    <cfRule type="expression" dxfId="27" priority="21">
      <formula>$H$53&lt;&gt;""</formula>
    </cfRule>
  </conditionalFormatting>
  <conditionalFormatting sqref="B30:L30">
    <cfRule type="expression" dxfId="26" priority="14">
      <formula>$B$30="STOP! LOAN CANNOT CLOSE UNTIL ON OR AFTER THE COVERAGE EFFECTIVE DATE."</formula>
    </cfRule>
  </conditionalFormatting>
  <conditionalFormatting sqref="B42:L42">
    <cfRule type="expression" dxfId="25" priority="13">
      <formula>$B$42&lt;&gt;""</formula>
    </cfRule>
  </conditionalFormatting>
  <conditionalFormatting sqref="C35:C41 C33">
    <cfRule type="expression" dxfId="24" priority="12">
      <formula>C$12="Condo - RES"</formula>
    </cfRule>
  </conditionalFormatting>
  <conditionalFormatting sqref="D39:L39">
    <cfRule type="cellIs" dxfId="23" priority="10" operator="greaterThan">
      <formula>$C$22</formula>
    </cfRule>
    <cfRule type="cellIs" dxfId="22" priority="11" operator="greaterThan">
      <formula>$C$22</formula>
    </cfRule>
  </conditionalFormatting>
  <conditionalFormatting sqref="D39:L39">
    <cfRule type="cellIs" dxfId="21" priority="6" operator="greaterThan">
      <formula>$C$22</formula>
    </cfRule>
    <cfRule type="cellIs" dxfId="20" priority="7" operator="greaterThan">
      <formula>$C$22</formula>
    </cfRule>
  </conditionalFormatting>
  <conditionalFormatting sqref="D35:L41">
    <cfRule type="expression" dxfId="19" priority="5">
      <formula>D$12="Condo - RES"</formula>
    </cfRule>
  </conditionalFormatting>
  <conditionalFormatting sqref="D33:L33">
    <cfRule type="expression" dxfId="18" priority="3">
      <formula>D$12="Condo - RES"</formula>
    </cfRule>
  </conditionalFormatting>
  <conditionalFormatting sqref="C45">
    <cfRule type="containsBlanks" dxfId="17" priority="2">
      <formula>LEN(TRIM(C45))=0</formula>
    </cfRule>
  </conditionalFormatting>
  <conditionalFormatting sqref="B43:L43">
    <cfRule type="expression" dxfId="16" priority="1">
      <formula>$B$62="Must Answer if Contents Taken as Collateral in Yellow Field"</formula>
    </cfRule>
  </conditionalFormatting>
  <dataValidations count="5">
    <dataValidation type="list" allowBlank="1" showInputMessage="1" showErrorMessage="1" sqref="C12:L12" xr:uid="{00000000-0002-0000-0200-000000000000}">
      <formula1>"Condo - RES, Other"</formula1>
    </dataValidation>
    <dataValidation type="list" allowBlank="1" showInputMessage="1" showErrorMessage="1" sqref="C33:L33" xr:uid="{00000000-0002-0000-0200-000001000000}">
      <formula1>"Yes, No, N/A"</formula1>
    </dataValidation>
    <dataValidation type="list" allowBlank="1" showInputMessage="1" showErrorMessage="1" sqref="K5:L5" xr:uid="{00000000-0002-0000-0200-000002000000}">
      <formula1>"Dothan, Jacksonville, Pooler, Tifton, Other, Northern"</formula1>
    </dataValidation>
    <dataValidation type="list" allowBlank="1" showInputMessage="1" showErrorMessage="1" sqref="C24:L24" xr:uid="{1B1ECD44-2FF2-42A1-86CF-713DF19C8F41}">
      <formula1>"NFIP Policy, Private Policy, Mutual Aid Society"</formula1>
    </dataValidation>
    <dataValidation type="custom" allowBlank="1" showInputMessage="1" showErrorMessage="1" errorTitle="Content Coverage Error!" error="Only enter values for units designated as &quot;Other&quot;." sqref="C35:L41" xr:uid="{27234FB5-FA82-471A-8D6B-4DF251EC922A}">
      <formula1>C12&lt;&gt;"Condo - RES"</formula1>
    </dataValidation>
  </dataValidations>
  <printOptions headings="1" gridLines="1"/>
  <pageMargins left="0.7" right="0.7" top="0.75" bottom="0.75" header="0.3" footer="0.3"/>
  <pageSetup paperSize="5" scale="6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54" r:id="rId4" name="Button 10">
              <controlPr defaultSize="0" print="0" autoFill="0" autoPict="0" macro="[0]!CONDO_ClearForm" altText="CLEAR FORM">
                <anchor moveWithCells="1" sizeWithCells="1">
                  <from>
                    <xdr:col>13</xdr:col>
                    <xdr:colOff>335280</xdr:colOff>
                    <xdr:row>3</xdr:row>
                    <xdr:rowOff>175260</xdr:rowOff>
                  </from>
                  <to>
                    <xdr:col>16</xdr:col>
                    <xdr:colOff>327660</xdr:colOff>
                    <xdr:row>7</xdr:row>
                    <xdr:rowOff>30480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3B8AB-D6BD-49FC-8757-1235C1F4B7F8}">
  <sheetPr codeName="Sheet3">
    <tabColor rgb="FF66FF66"/>
    <pageSetUpPr fitToPage="1"/>
  </sheetPr>
  <dimension ref="A1:AO77"/>
  <sheetViews>
    <sheetView topLeftCell="A19" zoomScale="80" zoomScaleNormal="80" workbookViewId="0">
      <selection activeCell="F38" sqref="F38"/>
    </sheetView>
  </sheetViews>
  <sheetFormatPr defaultRowHeight="14.4" x14ac:dyDescent="0.3"/>
  <cols>
    <col min="1" max="1" width="3.5546875" style="128" bestFit="1" customWidth="1"/>
    <col min="2" max="2" width="16.33203125" style="128" customWidth="1"/>
    <col min="3" max="3" width="40.88671875" style="134" customWidth="1"/>
    <col min="4" max="4" width="30.6640625" style="134" customWidth="1"/>
    <col min="5" max="5" width="28.33203125" style="134" bestFit="1" customWidth="1"/>
    <col min="6" max="6" width="21.33203125" style="134" customWidth="1"/>
    <col min="7" max="7" width="16.44140625" style="135" customWidth="1"/>
    <col min="8" max="8" width="49.5546875" style="134" customWidth="1"/>
    <col min="9" max="9" width="19.109375" style="238" customWidth="1"/>
    <col min="14" max="16" width="9.109375" style="175"/>
    <col min="17" max="41" width="9.109375" style="238"/>
  </cols>
  <sheetData>
    <row r="1" spans="1:41" s="238" customFormat="1" x14ac:dyDescent="0.3">
      <c r="A1" s="233"/>
      <c r="B1" s="233"/>
      <c r="C1" s="236"/>
      <c r="D1" s="236"/>
      <c r="E1" s="236"/>
      <c r="F1" s="236"/>
      <c r="G1" s="237"/>
      <c r="H1" s="236"/>
    </row>
    <row r="2" spans="1:41" ht="20.100000000000001" customHeight="1" x14ac:dyDescent="0.3">
      <c r="A2" s="233"/>
      <c r="B2" s="234"/>
      <c r="C2" s="146" t="s">
        <v>2</v>
      </c>
      <c r="D2" s="392" t="str">
        <f>IF('Res &amp; Com Calculator'!$C$5&lt;&gt;"",'Res &amp; Com Calculator'!$C$5,IF(' Condo Calculator'!$C$5&lt;&gt;"",' Condo Calculator'!$C$5,""))</f>
        <v/>
      </c>
      <c r="E2" s="392"/>
      <c r="F2" s="243"/>
      <c r="G2" s="145" t="s">
        <v>103</v>
      </c>
      <c r="H2" s="166" t="str">
        <f>IF('Res &amp; Com Calculator'!$K$5&lt;&gt;"",'Res &amp; Com Calculator'!$K$5,IF(' Condo Calculator'!$K$5&lt;&gt;"",' Condo Calculator'!$K$5,""))</f>
        <v/>
      </c>
      <c r="J2" s="238"/>
      <c r="K2" s="238"/>
      <c r="L2" s="238"/>
      <c r="M2" s="238"/>
      <c r="N2" s="238"/>
      <c r="O2" s="238"/>
      <c r="P2" s="238"/>
    </row>
    <row r="3" spans="1:41" ht="20.100000000000001" customHeight="1" x14ac:dyDescent="0.3">
      <c r="A3" s="233"/>
      <c r="B3" s="234"/>
      <c r="C3" s="146" t="s">
        <v>3</v>
      </c>
      <c r="D3" s="392" t="str">
        <f>IF('Res &amp; Com Calculator'!$C$6&lt;&gt;"",'Res &amp; Com Calculator'!$C$6,IF(' Condo Calculator'!$C$6&lt;&gt;"",' Condo Calculator'!$C$6,""))</f>
        <v/>
      </c>
      <c r="E3" s="392"/>
      <c r="F3" s="243"/>
      <c r="G3" s="145" t="s">
        <v>142</v>
      </c>
      <c r="H3" s="167" t="str">
        <f>IF('Res &amp; Com Calculator'!$C$7&lt;&gt;"",'Res &amp; Com Calculator'!$C$7,IF(' Condo Calculator'!$C$7&lt;&gt;"",' Condo Calculator'!$C$7,""))</f>
        <v/>
      </c>
      <c r="J3" s="238"/>
      <c r="K3" s="238"/>
      <c r="L3" s="238"/>
      <c r="M3" s="238"/>
      <c r="N3" s="238"/>
      <c r="O3" s="238"/>
      <c r="P3" s="238"/>
    </row>
    <row r="4" spans="1:41" ht="20.100000000000001" customHeight="1" x14ac:dyDescent="0.3">
      <c r="A4" s="233"/>
      <c r="B4" s="235"/>
      <c r="C4" s="147" t="s">
        <v>127</v>
      </c>
      <c r="D4" s="393"/>
      <c r="E4" s="394"/>
      <c r="F4" s="144" t="s">
        <v>128</v>
      </c>
      <c r="G4" s="431"/>
      <c r="H4" s="432"/>
      <c r="J4" s="238"/>
      <c r="K4" s="238"/>
      <c r="L4" s="238"/>
      <c r="M4" s="238"/>
      <c r="N4" s="238"/>
      <c r="O4" s="238"/>
      <c r="P4" s="238"/>
    </row>
    <row r="5" spans="1:41" s="238" customFormat="1" ht="15" thickBot="1" x14ac:dyDescent="0.35">
      <c r="A5" s="233"/>
      <c r="B5" s="233"/>
      <c r="C5" s="236"/>
      <c r="D5" s="236"/>
      <c r="E5" s="236"/>
      <c r="F5" s="236"/>
      <c r="G5" s="237"/>
      <c r="H5" s="236"/>
    </row>
    <row r="6" spans="1:41" ht="33.6" customHeight="1" x14ac:dyDescent="0.3">
      <c r="A6" s="233"/>
      <c r="B6" s="229" t="s">
        <v>204</v>
      </c>
      <c r="C6" s="156"/>
      <c r="D6" s="157"/>
      <c r="E6" s="157"/>
      <c r="F6" s="157"/>
      <c r="G6" s="157" t="s">
        <v>129</v>
      </c>
      <c r="H6" s="158" t="s">
        <v>202</v>
      </c>
      <c r="J6" s="238"/>
      <c r="K6" s="238"/>
      <c r="L6" s="238"/>
      <c r="M6" s="238"/>
      <c r="N6" s="238"/>
      <c r="O6" s="238"/>
      <c r="P6" s="238"/>
    </row>
    <row r="7" spans="1:41" s="129" customFormat="1" ht="54" customHeight="1" x14ac:dyDescent="0.3">
      <c r="A7" s="239"/>
      <c r="B7" s="433" t="s">
        <v>206</v>
      </c>
      <c r="C7" s="434"/>
      <c r="D7" s="434"/>
      <c r="E7" s="434"/>
      <c r="F7" s="435"/>
      <c r="G7" s="136" t="s">
        <v>23</v>
      </c>
      <c r="H7" s="159"/>
      <c r="I7" s="242"/>
      <c r="J7" s="242"/>
      <c r="K7" s="242"/>
      <c r="L7" s="242"/>
      <c r="M7" s="242"/>
      <c r="N7" s="242"/>
      <c r="O7" s="242"/>
      <c r="P7" s="242"/>
      <c r="Q7" s="242"/>
      <c r="R7" s="242"/>
      <c r="S7" s="242"/>
      <c r="T7" s="242"/>
      <c r="U7" s="242"/>
      <c r="V7" s="242"/>
      <c r="W7" s="242"/>
      <c r="X7" s="242"/>
      <c r="Y7" s="242"/>
      <c r="Z7" s="242"/>
      <c r="AA7" s="242"/>
      <c r="AB7" s="242"/>
      <c r="AC7" s="242"/>
      <c r="AD7" s="242"/>
      <c r="AE7" s="242"/>
      <c r="AF7" s="242"/>
      <c r="AG7" s="242"/>
      <c r="AH7" s="242"/>
      <c r="AI7" s="242"/>
      <c r="AJ7" s="242"/>
      <c r="AK7" s="242"/>
      <c r="AL7" s="242"/>
      <c r="AM7" s="242"/>
      <c r="AN7" s="242"/>
      <c r="AO7" s="242"/>
    </row>
    <row r="8" spans="1:41" s="129" customFormat="1" ht="30" customHeight="1" thickBot="1" x14ac:dyDescent="0.35">
      <c r="A8" s="239"/>
      <c r="B8" s="436" t="str">
        <f>IF($G$7="Yes","Private Flood Ins. Policy Meets Mandatory Acceptance Requirements. Accept Policy if ALL Other Information is Correct.",IF($G$7="NO","Additional Review of Private Flood Policy Required. Complete Questions Below",""))</f>
        <v>Additional Review of Private Flood Policy Required. Complete Questions Below</v>
      </c>
      <c r="C8" s="437"/>
      <c r="D8" s="437"/>
      <c r="E8" s="437"/>
      <c r="F8" s="437"/>
      <c r="G8" s="437"/>
      <c r="H8" s="438"/>
      <c r="I8" s="242"/>
      <c r="J8" s="242"/>
      <c r="K8" s="242"/>
      <c r="L8" s="242"/>
      <c r="M8" s="242"/>
      <c r="N8" s="242"/>
      <c r="O8" s="242"/>
      <c r="P8" s="242"/>
      <c r="Q8" s="242"/>
      <c r="R8" s="242"/>
      <c r="S8" s="242"/>
      <c r="T8" s="242"/>
      <c r="U8" s="242"/>
      <c r="V8" s="242"/>
      <c r="W8" s="242"/>
      <c r="X8" s="242"/>
      <c r="Y8" s="242"/>
      <c r="Z8" s="242"/>
      <c r="AA8" s="242"/>
      <c r="AB8" s="242"/>
      <c r="AC8" s="242"/>
      <c r="AD8" s="242"/>
      <c r="AE8" s="242"/>
      <c r="AF8" s="242"/>
      <c r="AG8" s="242"/>
      <c r="AH8" s="242"/>
      <c r="AI8" s="242"/>
      <c r="AJ8" s="242"/>
      <c r="AK8" s="242"/>
      <c r="AL8" s="242"/>
      <c r="AM8" s="242"/>
      <c r="AN8" s="242"/>
      <c r="AO8" s="242"/>
    </row>
    <row r="9" spans="1:41" s="129" customFormat="1" ht="21.75" customHeight="1" x14ac:dyDescent="0.3">
      <c r="A9" s="239"/>
      <c r="B9" s="225" t="s">
        <v>205</v>
      </c>
      <c r="C9" s="226"/>
      <c r="D9" s="227"/>
      <c r="E9" s="227"/>
      <c r="F9" s="227"/>
      <c r="G9" s="227"/>
      <c r="H9" s="228"/>
      <c r="I9" s="242"/>
      <c r="J9" s="242"/>
      <c r="K9" s="242"/>
      <c r="L9" s="242"/>
      <c r="M9" s="242"/>
      <c r="N9" s="242"/>
      <c r="O9" s="242"/>
      <c r="P9" s="242"/>
      <c r="Q9" s="242"/>
      <c r="R9" s="242"/>
      <c r="S9" s="242"/>
      <c r="T9" s="242"/>
      <c r="U9" s="242"/>
      <c r="V9" s="242"/>
      <c r="W9" s="242"/>
      <c r="X9" s="242"/>
      <c r="Y9" s="242"/>
      <c r="Z9" s="242"/>
      <c r="AA9" s="242"/>
      <c r="AB9" s="242"/>
      <c r="AC9" s="242"/>
      <c r="AD9" s="242"/>
      <c r="AE9" s="242"/>
      <c r="AF9" s="242"/>
      <c r="AG9" s="242"/>
      <c r="AH9" s="242"/>
      <c r="AI9" s="242"/>
      <c r="AJ9" s="242"/>
      <c r="AK9" s="242"/>
      <c r="AL9" s="242"/>
      <c r="AM9" s="242"/>
      <c r="AN9" s="242"/>
      <c r="AO9" s="242"/>
    </row>
    <row r="10" spans="1:41" s="129" customFormat="1" ht="54" customHeight="1" x14ac:dyDescent="0.3">
      <c r="A10" s="240">
        <v>1</v>
      </c>
      <c r="B10" s="398" t="s">
        <v>203</v>
      </c>
      <c r="C10" s="399"/>
      <c r="D10" s="399"/>
      <c r="E10" s="399"/>
      <c r="F10" s="400"/>
      <c r="G10" s="136"/>
      <c r="H10" s="223"/>
      <c r="I10" s="395" t="s">
        <v>150</v>
      </c>
      <c r="J10" s="396"/>
      <c r="K10" s="242"/>
      <c r="L10" s="242"/>
      <c r="M10" s="242"/>
      <c r="N10" s="242"/>
      <c r="O10" s="242"/>
      <c r="P10" s="242"/>
      <c r="Q10" s="242"/>
      <c r="R10" s="242"/>
      <c r="S10" s="242"/>
      <c r="T10" s="242"/>
      <c r="U10" s="242"/>
      <c r="V10" s="242"/>
      <c r="W10" s="242"/>
      <c r="X10" s="242"/>
      <c r="Y10" s="242"/>
      <c r="Z10" s="242"/>
      <c r="AA10" s="242"/>
      <c r="AB10" s="242"/>
      <c r="AC10" s="242"/>
      <c r="AD10" s="242"/>
      <c r="AE10" s="242"/>
      <c r="AF10" s="242"/>
      <c r="AG10" s="242"/>
      <c r="AH10" s="242"/>
      <c r="AI10" s="242"/>
      <c r="AJ10" s="242"/>
      <c r="AK10" s="242"/>
      <c r="AL10" s="242"/>
      <c r="AM10" s="242"/>
      <c r="AN10" s="242"/>
      <c r="AO10" s="242"/>
    </row>
    <row r="11" spans="1:41" s="129" customFormat="1" ht="84" customHeight="1" x14ac:dyDescent="0.3">
      <c r="A11" s="240">
        <v>2</v>
      </c>
      <c r="B11" s="414" t="s">
        <v>230</v>
      </c>
      <c r="C11" s="415"/>
      <c r="D11" s="415"/>
      <c r="E11" s="415"/>
      <c r="F11" s="416"/>
      <c r="G11" s="136"/>
      <c r="H11" s="223"/>
      <c r="I11" s="242"/>
      <c r="J11" s="242"/>
      <c r="K11" s="242"/>
      <c r="L11" s="242"/>
      <c r="M11" s="242"/>
      <c r="N11" s="242"/>
      <c r="O11" s="242"/>
      <c r="P11" s="242"/>
      <c r="Q11" s="242"/>
      <c r="R11" s="242"/>
      <c r="S11" s="242"/>
      <c r="T11" s="242"/>
      <c r="U11" s="242"/>
      <c r="V11" s="242"/>
      <c r="W11" s="242"/>
      <c r="X11" s="242"/>
      <c r="Y11" s="242"/>
      <c r="Z11" s="242"/>
      <c r="AA11" s="242"/>
      <c r="AB11" s="242"/>
      <c r="AC11" s="242"/>
      <c r="AD11" s="242"/>
      <c r="AE11" s="242"/>
      <c r="AF11" s="242"/>
      <c r="AG11" s="242"/>
      <c r="AH11" s="242"/>
      <c r="AI11" s="242"/>
      <c r="AJ11" s="242"/>
      <c r="AK11" s="242"/>
      <c r="AL11" s="242"/>
      <c r="AM11" s="242"/>
      <c r="AN11" s="242"/>
      <c r="AO11" s="242"/>
    </row>
    <row r="12" spans="1:41" s="129" customFormat="1" ht="48" customHeight="1" x14ac:dyDescent="0.3">
      <c r="A12" s="240">
        <v>3</v>
      </c>
      <c r="B12" s="414" t="s">
        <v>201</v>
      </c>
      <c r="C12" s="415"/>
      <c r="D12" s="415"/>
      <c r="E12" s="415"/>
      <c r="F12" s="415"/>
      <c r="G12" s="136"/>
      <c r="H12" s="223"/>
      <c r="I12" s="242"/>
      <c r="J12" s="242"/>
      <c r="K12" s="242"/>
      <c r="L12" s="242"/>
      <c r="M12" s="242"/>
      <c r="N12" s="242"/>
      <c r="O12" s="242"/>
      <c r="P12" s="242"/>
      <c r="Q12" s="242"/>
      <c r="R12" s="242"/>
      <c r="S12" s="242"/>
      <c r="T12" s="242"/>
      <c r="U12" s="242"/>
      <c r="V12" s="242"/>
      <c r="W12" s="242"/>
      <c r="X12" s="242"/>
      <c r="Y12" s="242"/>
      <c r="Z12" s="242"/>
      <c r="AA12" s="242"/>
      <c r="AB12" s="242"/>
      <c r="AC12" s="242"/>
      <c r="AD12" s="242"/>
      <c r="AE12" s="242"/>
      <c r="AF12" s="242"/>
      <c r="AG12" s="242"/>
      <c r="AH12" s="242"/>
      <c r="AI12" s="242"/>
      <c r="AJ12" s="242"/>
      <c r="AK12" s="242"/>
      <c r="AL12" s="242"/>
      <c r="AM12" s="242"/>
      <c r="AN12" s="242"/>
      <c r="AO12" s="242"/>
    </row>
    <row r="13" spans="1:41" s="129" customFormat="1" ht="39.9" customHeight="1" x14ac:dyDescent="0.3">
      <c r="A13" s="240">
        <v>4</v>
      </c>
      <c r="B13" s="414" t="s">
        <v>200</v>
      </c>
      <c r="C13" s="415"/>
      <c r="D13" s="415"/>
      <c r="E13" s="415"/>
      <c r="F13" s="416"/>
      <c r="G13" s="136"/>
      <c r="H13" s="223"/>
      <c r="I13" s="242"/>
      <c r="J13" s="242"/>
      <c r="K13" s="242"/>
      <c r="L13" s="242"/>
      <c r="M13" s="242"/>
      <c r="N13" s="242"/>
      <c r="O13" s="242"/>
      <c r="P13" s="242"/>
      <c r="Q13" s="242"/>
      <c r="R13" s="242"/>
      <c r="S13" s="242"/>
      <c r="T13" s="242"/>
      <c r="U13" s="242"/>
      <c r="V13" s="242"/>
      <c r="W13" s="242"/>
      <c r="X13" s="242"/>
      <c r="Y13" s="242"/>
      <c r="Z13" s="242"/>
      <c r="AA13" s="242"/>
      <c r="AB13" s="242"/>
      <c r="AC13" s="242"/>
      <c r="AD13" s="242"/>
      <c r="AE13" s="242"/>
      <c r="AF13" s="242"/>
      <c r="AG13" s="242"/>
      <c r="AH13" s="242"/>
      <c r="AI13" s="242"/>
      <c r="AJ13" s="242"/>
      <c r="AK13" s="242"/>
      <c r="AL13" s="242"/>
      <c r="AM13" s="242"/>
      <c r="AN13" s="242"/>
      <c r="AO13" s="242"/>
    </row>
    <row r="14" spans="1:41" s="129" customFormat="1" ht="35.1" customHeight="1" x14ac:dyDescent="0.3">
      <c r="A14" s="240"/>
      <c r="B14" s="231"/>
      <c r="C14" s="415" t="s">
        <v>231</v>
      </c>
      <c r="D14" s="415"/>
      <c r="E14" s="415"/>
      <c r="F14" s="416"/>
      <c r="G14" s="136"/>
      <c r="H14" s="223"/>
      <c r="I14" s="242"/>
      <c r="J14" s="242"/>
      <c r="K14" s="242"/>
      <c r="L14" s="242"/>
      <c r="M14" s="242"/>
      <c r="N14" s="242"/>
      <c r="O14" s="242"/>
      <c r="P14" s="242"/>
      <c r="Q14" s="242"/>
      <c r="R14" s="242"/>
      <c r="S14" s="242"/>
      <c r="T14" s="242"/>
      <c r="U14" s="242"/>
      <c r="V14" s="242"/>
      <c r="W14" s="242"/>
      <c r="X14" s="242"/>
      <c r="Y14" s="242"/>
      <c r="Z14" s="242"/>
      <c r="AA14" s="242"/>
      <c r="AB14" s="242"/>
      <c r="AC14" s="242"/>
      <c r="AD14" s="242"/>
      <c r="AE14" s="242"/>
      <c r="AF14" s="242"/>
      <c r="AG14" s="242"/>
      <c r="AH14" s="242"/>
      <c r="AI14" s="242"/>
      <c r="AJ14" s="242"/>
      <c r="AK14" s="242"/>
      <c r="AL14" s="242"/>
      <c r="AM14" s="242"/>
      <c r="AN14" s="242"/>
      <c r="AO14" s="242"/>
    </row>
    <row r="15" spans="1:41" s="129" customFormat="1" ht="35.1" customHeight="1" x14ac:dyDescent="0.3">
      <c r="A15" s="240"/>
      <c r="B15" s="231"/>
      <c r="C15" s="415" t="s">
        <v>196</v>
      </c>
      <c r="D15" s="415"/>
      <c r="E15" s="415"/>
      <c r="F15" s="416"/>
      <c r="G15" s="136"/>
      <c r="H15" s="223"/>
      <c r="I15" s="242"/>
      <c r="J15" s="242"/>
      <c r="K15" s="242"/>
      <c r="L15" s="242"/>
      <c r="M15" s="242"/>
      <c r="N15" s="242"/>
      <c r="O15" s="242"/>
      <c r="P15" s="242"/>
      <c r="Q15" s="242"/>
      <c r="R15" s="242"/>
      <c r="S15" s="242"/>
      <c r="T15" s="242"/>
      <c r="U15" s="242"/>
      <c r="V15" s="242"/>
      <c r="W15" s="242"/>
      <c r="X15" s="242"/>
      <c r="Y15" s="242"/>
      <c r="Z15" s="242"/>
      <c r="AA15" s="242"/>
      <c r="AB15" s="242"/>
      <c r="AC15" s="242"/>
      <c r="AD15" s="242"/>
      <c r="AE15" s="242"/>
      <c r="AF15" s="242"/>
      <c r="AG15" s="242"/>
      <c r="AH15" s="242"/>
      <c r="AI15" s="242"/>
      <c r="AJ15" s="242"/>
      <c r="AK15" s="242"/>
      <c r="AL15" s="242"/>
      <c r="AM15" s="242"/>
      <c r="AN15" s="242"/>
      <c r="AO15" s="242"/>
    </row>
    <row r="16" spans="1:41" s="129" customFormat="1" ht="35.1" customHeight="1" x14ac:dyDescent="0.3">
      <c r="A16" s="240"/>
      <c r="B16" s="231"/>
      <c r="C16" s="415" t="s">
        <v>197</v>
      </c>
      <c r="D16" s="415"/>
      <c r="E16" s="415"/>
      <c r="F16" s="416"/>
      <c r="G16" s="136"/>
      <c r="H16" s="223"/>
      <c r="I16" s="242"/>
      <c r="J16" s="242"/>
      <c r="K16" s="242"/>
      <c r="L16" s="242"/>
      <c r="M16" s="242"/>
      <c r="N16" s="242"/>
      <c r="O16" s="242"/>
      <c r="P16" s="242"/>
      <c r="Q16" s="242"/>
      <c r="R16" s="242"/>
      <c r="S16" s="242"/>
      <c r="T16" s="242"/>
      <c r="U16" s="242"/>
      <c r="V16" s="242"/>
      <c r="W16" s="242"/>
      <c r="X16" s="242"/>
      <c r="Y16" s="242"/>
      <c r="Z16" s="242"/>
      <c r="AA16" s="242"/>
      <c r="AB16" s="242"/>
      <c r="AC16" s="242"/>
      <c r="AD16" s="242"/>
      <c r="AE16" s="242"/>
      <c r="AF16" s="242"/>
      <c r="AG16" s="242"/>
      <c r="AH16" s="242"/>
      <c r="AI16" s="242"/>
      <c r="AJ16" s="242"/>
      <c r="AK16" s="242"/>
      <c r="AL16" s="242"/>
      <c r="AM16" s="242"/>
      <c r="AN16" s="242"/>
      <c r="AO16" s="242"/>
    </row>
    <row r="17" spans="1:41" s="129" customFormat="1" ht="35.1" customHeight="1" x14ac:dyDescent="0.3">
      <c r="A17" s="240"/>
      <c r="B17" s="231"/>
      <c r="C17" s="415" t="s">
        <v>198</v>
      </c>
      <c r="D17" s="415"/>
      <c r="E17" s="415"/>
      <c r="F17" s="416"/>
      <c r="G17" s="136"/>
      <c r="H17" s="223"/>
      <c r="I17" s="242"/>
      <c r="J17" s="242"/>
      <c r="K17" s="242"/>
      <c r="L17" s="242"/>
      <c r="M17" s="242"/>
      <c r="N17" s="242"/>
      <c r="O17" s="242"/>
      <c r="P17" s="242"/>
      <c r="Q17" s="242"/>
      <c r="R17" s="242"/>
      <c r="S17" s="242"/>
      <c r="T17" s="242"/>
      <c r="U17" s="242"/>
      <c r="V17" s="242"/>
      <c r="W17" s="242"/>
      <c r="X17" s="242"/>
      <c r="Y17" s="242"/>
      <c r="Z17" s="242"/>
      <c r="AA17" s="242"/>
      <c r="AB17" s="242"/>
      <c r="AC17" s="242"/>
      <c r="AD17" s="242"/>
      <c r="AE17" s="242"/>
      <c r="AF17" s="242"/>
      <c r="AG17" s="242"/>
      <c r="AH17" s="242"/>
      <c r="AI17" s="242"/>
      <c r="AJ17" s="242"/>
      <c r="AK17" s="242"/>
      <c r="AL17" s="242"/>
      <c r="AM17" s="242"/>
      <c r="AN17" s="242"/>
      <c r="AO17" s="242"/>
    </row>
    <row r="18" spans="1:41" s="129" customFormat="1" ht="35.1" customHeight="1" thickBot="1" x14ac:dyDescent="0.35">
      <c r="A18" s="241"/>
      <c r="B18" s="232"/>
      <c r="C18" s="439" t="s">
        <v>199</v>
      </c>
      <c r="D18" s="439"/>
      <c r="E18" s="439"/>
      <c r="F18" s="440"/>
      <c r="G18" s="137"/>
      <c r="H18" s="224"/>
      <c r="I18" s="242"/>
      <c r="J18" s="242"/>
      <c r="K18" s="242"/>
      <c r="L18" s="242"/>
      <c r="M18" s="242"/>
      <c r="N18" s="242"/>
      <c r="O18" s="242"/>
      <c r="P18" s="242"/>
      <c r="Q18" s="242"/>
      <c r="R18" s="242"/>
      <c r="S18" s="242"/>
      <c r="T18" s="242"/>
      <c r="U18" s="242"/>
      <c r="V18" s="242"/>
      <c r="W18" s="242"/>
      <c r="X18" s="242"/>
      <c r="Y18" s="242"/>
      <c r="Z18" s="242"/>
      <c r="AA18" s="242"/>
      <c r="AB18" s="242"/>
      <c r="AC18" s="242"/>
      <c r="AD18" s="242"/>
      <c r="AE18" s="242"/>
      <c r="AF18" s="242"/>
      <c r="AG18" s="242"/>
      <c r="AH18" s="242"/>
      <c r="AI18" s="242"/>
      <c r="AJ18" s="242"/>
      <c r="AK18" s="242"/>
      <c r="AL18" s="242"/>
      <c r="AM18" s="242"/>
      <c r="AN18" s="242"/>
      <c r="AO18" s="242"/>
    </row>
    <row r="19" spans="1:41" s="129" customFormat="1" ht="35.1" customHeight="1" thickBot="1" x14ac:dyDescent="0.35">
      <c r="A19" s="250" t="str">
        <f>IF(B19="POLICY DOES NOT MEET DISCRETIONARY ACCEPTANCE AND MUST BE REVIEWED FOR MANDATORY ACCEPTANCE REQUIREMENTS","No","Yes")</f>
        <v>Yes</v>
      </c>
      <c r="B19" s="429" t="str">
        <f>IF(AND(G10="Yes",G11="Yes",G12="Yes",G13="Yes",G14="Yes",G15="Yes",G16="Yes",G17="Yes",G18="Yes"),"POLICY MAY BE APPROVED UNDER DISCRETIONARY ACCEPTANCE REQUIREMENTS ONCE WRITTEN SUMMARY OF CONCLUSION IS DOCUMENTED BELOW",IF(OR(G10="No",G11="No",G12="No",G13="No",G14="No",G15="No",G16="No",G17="No",G18="No"),"POLICY DOES NOT MEET DISCRETIONARY ACCEPTANCE AND MUST BE REVIEWED FOR MANDATORY ACCEPTANCE REQUIREMENTS"," "))</f>
        <v xml:space="preserve"> </v>
      </c>
      <c r="C19" s="429"/>
      <c r="D19" s="429"/>
      <c r="E19" s="429"/>
      <c r="F19" s="429"/>
      <c r="G19" s="429"/>
      <c r="H19" s="430"/>
      <c r="I19" s="242"/>
      <c r="J19" s="242"/>
      <c r="K19" s="242"/>
      <c r="L19" s="242"/>
      <c r="M19" s="242"/>
      <c r="N19" s="242"/>
      <c r="O19" s="242"/>
      <c r="P19" s="242"/>
      <c r="Q19" s="242"/>
      <c r="R19" s="242"/>
      <c r="S19" s="242"/>
      <c r="T19" s="242"/>
      <c r="U19" s="242"/>
      <c r="V19" s="242"/>
      <c r="W19" s="242"/>
      <c r="X19" s="242"/>
      <c r="Y19" s="242"/>
      <c r="Z19" s="242"/>
      <c r="AA19" s="242"/>
      <c r="AB19" s="242"/>
      <c r="AC19" s="242"/>
      <c r="AD19" s="242"/>
      <c r="AE19" s="242"/>
      <c r="AF19" s="242"/>
      <c r="AG19" s="242"/>
      <c r="AH19" s="242"/>
      <c r="AI19" s="242"/>
      <c r="AJ19" s="242"/>
      <c r="AK19" s="242"/>
      <c r="AL19" s="242"/>
      <c r="AM19" s="242"/>
      <c r="AN19" s="242"/>
      <c r="AO19" s="242"/>
    </row>
    <row r="20" spans="1:41" s="129" customFormat="1" ht="105" customHeight="1" thickBot="1" x14ac:dyDescent="0.35">
      <c r="A20" s="242"/>
      <c r="B20" s="230" t="str">
        <f>IF(A19="NO"," ","Written Summary of Conclusion:")</f>
        <v>Written Summary of Conclusion:</v>
      </c>
      <c r="C20" s="441"/>
      <c r="D20" s="442"/>
      <c r="E20" s="442"/>
      <c r="F20" s="442"/>
      <c r="G20" s="442"/>
      <c r="H20" s="443"/>
      <c r="I20" s="242"/>
      <c r="J20" s="242"/>
      <c r="K20" s="242"/>
      <c r="L20" s="242"/>
      <c r="M20" s="242"/>
      <c r="N20" s="242"/>
      <c r="O20" s="242"/>
      <c r="P20" s="242"/>
      <c r="Q20" s="242"/>
      <c r="R20" s="242"/>
      <c r="S20" s="242"/>
      <c r="T20" s="242"/>
      <c r="U20" s="242"/>
      <c r="V20" s="242"/>
      <c r="W20" s="242"/>
      <c r="X20" s="242"/>
      <c r="Y20" s="242"/>
      <c r="Z20" s="242"/>
      <c r="AA20" s="242"/>
      <c r="AB20" s="242"/>
      <c r="AC20" s="242"/>
      <c r="AD20" s="242"/>
      <c r="AE20" s="242"/>
      <c r="AF20" s="242"/>
      <c r="AG20" s="242"/>
      <c r="AH20" s="242"/>
      <c r="AI20" s="242"/>
      <c r="AJ20" s="242"/>
      <c r="AK20" s="242"/>
      <c r="AL20" s="242"/>
      <c r="AM20" s="242"/>
      <c r="AN20" s="242"/>
      <c r="AO20" s="242"/>
    </row>
    <row r="21" spans="1:41" s="129" customFormat="1" ht="21.75" hidden="1" customHeight="1" x14ac:dyDescent="0.3">
      <c r="A21" s="242"/>
      <c r="B21" s="229" t="s">
        <v>207</v>
      </c>
      <c r="C21" s="156"/>
      <c r="D21" s="157"/>
      <c r="E21" s="157"/>
      <c r="F21" s="157"/>
      <c r="G21" s="157"/>
      <c r="H21" s="158"/>
      <c r="I21" s="242"/>
      <c r="J21" s="242"/>
      <c r="K21" s="242"/>
      <c r="L21" s="242"/>
      <c r="M21" s="242"/>
      <c r="N21" s="242"/>
      <c r="O21" s="242"/>
      <c r="P21" s="242"/>
      <c r="Q21" s="242"/>
      <c r="R21" s="242"/>
      <c r="S21" s="242"/>
      <c r="T21" s="242"/>
      <c r="U21" s="242"/>
      <c r="V21" s="242"/>
      <c r="W21" s="242"/>
      <c r="X21" s="242"/>
      <c r="Y21" s="242"/>
      <c r="Z21" s="242"/>
      <c r="AA21" s="242"/>
      <c r="AB21" s="242"/>
      <c r="AC21" s="242"/>
      <c r="AD21" s="242"/>
      <c r="AE21" s="242"/>
      <c r="AF21" s="242"/>
      <c r="AG21" s="242"/>
      <c r="AH21" s="242"/>
      <c r="AI21" s="242"/>
      <c r="AJ21" s="242"/>
      <c r="AK21" s="242"/>
      <c r="AL21" s="242"/>
      <c r="AM21" s="242"/>
      <c r="AN21" s="242"/>
      <c r="AO21" s="242"/>
    </row>
    <row r="22" spans="1:41" s="129" customFormat="1" ht="84" hidden="1" customHeight="1" x14ac:dyDescent="0.3">
      <c r="A22" s="240">
        <v>1</v>
      </c>
      <c r="B22" s="414" t="s">
        <v>145</v>
      </c>
      <c r="C22" s="415"/>
      <c r="D22" s="415"/>
      <c r="E22" s="415"/>
      <c r="F22" s="416"/>
      <c r="G22" s="269"/>
      <c r="H22" s="222"/>
      <c r="I22" s="242"/>
      <c r="J22" s="242"/>
      <c r="K22" s="242"/>
      <c r="L22" s="242"/>
      <c r="M22" s="242"/>
      <c r="N22" s="242"/>
      <c r="O22" s="242"/>
      <c r="P22" s="242"/>
      <c r="Q22" s="242"/>
      <c r="R22" s="242"/>
      <c r="S22" s="242"/>
      <c r="T22" s="242"/>
      <c r="U22" s="242"/>
      <c r="V22" s="242"/>
      <c r="W22" s="242"/>
      <c r="X22" s="242"/>
      <c r="Y22" s="242"/>
      <c r="Z22" s="242"/>
      <c r="AA22" s="242"/>
      <c r="AB22" s="242"/>
      <c r="AC22" s="242"/>
      <c r="AD22" s="242"/>
      <c r="AE22" s="242"/>
      <c r="AF22" s="242"/>
      <c r="AG22" s="242"/>
      <c r="AH22" s="242"/>
      <c r="AI22" s="242"/>
      <c r="AJ22" s="242"/>
      <c r="AK22" s="242"/>
      <c r="AL22" s="242"/>
      <c r="AM22" s="242"/>
      <c r="AN22" s="242"/>
      <c r="AO22" s="242"/>
    </row>
    <row r="23" spans="1:41" s="129" customFormat="1" ht="34.5" hidden="1" customHeight="1" thickBot="1" x14ac:dyDescent="0.35">
      <c r="A23" s="240">
        <v>2</v>
      </c>
      <c r="B23" s="161" t="s">
        <v>213</v>
      </c>
      <c r="C23" s="130"/>
      <c r="D23" s="130"/>
      <c r="E23" s="131"/>
      <c r="F23" s="150"/>
      <c r="G23" s="162"/>
      <c r="H23" s="171" t="str">
        <f>IF(AND($G$24="YES",$G$26="YES",OR($G$25="YES",$G$25="N/A"),$G$27="YES",$G$28="YES",$G$29="YES"),"YES","NO")</f>
        <v>NO</v>
      </c>
      <c r="I23" s="242"/>
      <c r="J23" s="242"/>
      <c r="K23" s="242"/>
      <c r="L23" s="242"/>
      <c r="M23" s="242"/>
      <c r="N23" s="242"/>
      <c r="O23" s="242"/>
      <c r="P23" s="242"/>
      <c r="Q23" s="242"/>
      <c r="R23" s="242"/>
      <c r="S23" s="242"/>
      <c r="T23" s="242"/>
      <c r="U23" s="242"/>
      <c r="V23" s="242"/>
      <c r="W23" s="242"/>
      <c r="X23" s="242"/>
      <c r="Y23" s="242"/>
      <c r="Z23" s="242"/>
      <c r="AA23" s="242"/>
      <c r="AB23" s="242"/>
      <c r="AC23" s="242"/>
      <c r="AD23" s="242"/>
      <c r="AE23" s="242"/>
      <c r="AF23" s="242"/>
      <c r="AG23" s="242"/>
      <c r="AH23" s="242"/>
      <c r="AI23" s="242"/>
      <c r="AJ23" s="242"/>
      <c r="AK23" s="242"/>
      <c r="AL23" s="242"/>
      <c r="AM23" s="242"/>
      <c r="AN23" s="242"/>
      <c r="AO23" s="242"/>
    </row>
    <row r="24" spans="1:41" s="129" customFormat="1" ht="24.9" hidden="1" customHeight="1" thickBot="1" x14ac:dyDescent="0.35">
      <c r="A24" s="240"/>
      <c r="B24" s="163" t="s">
        <v>130</v>
      </c>
      <c r="C24" s="153"/>
      <c r="D24" s="132" t="s">
        <v>131</v>
      </c>
      <c r="E24" s="139"/>
      <c r="F24" s="164"/>
      <c r="G24" s="138" t="str">
        <f>IF($D$4="","",IF(AND($E$24&gt;0,$E$24&lt;=VLOOKUP($D$4,'PRIVATE FLOOD INFORMATION'!$A$29:$B$32,2,FALSE)),"Yes","No"))</f>
        <v/>
      </c>
      <c r="H24" s="412"/>
      <c r="I24" s="242"/>
      <c r="J24" s="242"/>
      <c r="K24" s="242"/>
      <c r="L24" s="242"/>
      <c r="M24" s="242"/>
      <c r="N24" s="242"/>
      <c r="O24" s="242"/>
      <c r="P24" s="242"/>
      <c r="Q24" s="242"/>
      <c r="R24" s="242"/>
      <c r="S24" s="242"/>
      <c r="T24" s="242"/>
      <c r="U24" s="242"/>
      <c r="V24" s="242"/>
      <c r="W24" s="242"/>
      <c r="X24" s="242"/>
      <c r="Y24" s="242"/>
      <c r="Z24" s="242"/>
      <c r="AA24" s="242"/>
      <c r="AB24" s="242"/>
      <c r="AC24" s="242"/>
      <c r="AD24" s="242"/>
      <c r="AE24" s="242"/>
      <c r="AF24" s="242"/>
      <c r="AG24" s="242"/>
      <c r="AH24" s="242"/>
      <c r="AI24" s="242"/>
      <c r="AJ24" s="242"/>
      <c r="AK24" s="242"/>
      <c r="AL24" s="242"/>
      <c r="AM24" s="242"/>
      <c r="AN24" s="242"/>
      <c r="AO24" s="242"/>
    </row>
    <row r="25" spans="1:41" s="129" customFormat="1" ht="24.9" hidden="1" customHeight="1" thickBot="1" x14ac:dyDescent="0.35">
      <c r="A25" s="240"/>
      <c r="B25" s="165"/>
      <c r="C25" s="152" t="s">
        <v>147</v>
      </c>
      <c r="D25" s="133" t="s">
        <v>132</v>
      </c>
      <c r="E25" s="139"/>
      <c r="F25" s="154"/>
      <c r="G25" s="138" t="str">
        <f>IF($D$4="","",IF($E$25&lt;=VLOOKUP($D$4,'PRIVATE FLOOD INFORMATION'!$A$36:$B$39,2,FALSE),"Yes",IF($D$4="Residential Building","n/a","No")))</f>
        <v/>
      </c>
      <c r="H25" s="413"/>
      <c r="I25" s="242"/>
      <c r="J25" s="242"/>
      <c r="K25" s="242"/>
      <c r="L25" s="242"/>
      <c r="M25" s="242"/>
      <c r="N25" s="242"/>
      <c r="O25" s="242"/>
      <c r="P25" s="242"/>
      <c r="Q25" s="242"/>
      <c r="R25" s="242"/>
      <c r="S25" s="242"/>
      <c r="T25" s="242"/>
      <c r="U25" s="242"/>
      <c r="V25" s="242"/>
      <c r="W25" s="242"/>
      <c r="X25" s="242"/>
      <c r="Y25" s="242"/>
      <c r="Z25" s="242"/>
      <c r="AA25" s="242"/>
      <c r="AB25" s="242"/>
      <c r="AC25" s="242"/>
      <c r="AD25" s="242"/>
      <c r="AE25" s="242"/>
      <c r="AF25" s="242"/>
      <c r="AG25" s="242"/>
      <c r="AH25" s="242"/>
      <c r="AI25" s="242"/>
      <c r="AJ25" s="242"/>
      <c r="AK25" s="242"/>
      <c r="AL25" s="242"/>
      <c r="AM25" s="242"/>
      <c r="AN25" s="242"/>
      <c r="AO25" s="242"/>
    </row>
    <row r="26" spans="1:41" s="129" customFormat="1" ht="24.9" hidden="1" customHeight="1" x14ac:dyDescent="0.3">
      <c r="A26" s="240"/>
      <c r="B26" s="426" t="s">
        <v>133</v>
      </c>
      <c r="C26" s="427"/>
      <c r="D26" s="427"/>
      <c r="E26" s="427"/>
      <c r="F26" s="428"/>
      <c r="G26" s="137"/>
      <c r="H26" s="406" t="s">
        <v>157</v>
      </c>
      <c r="I26" s="242"/>
      <c r="J26" s="242"/>
      <c r="K26" s="242"/>
      <c r="L26" s="242"/>
      <c r="M26" s="242"/>
      <c r="N26" s="242"/>
      <c r="O26" s="242"/>
      <c r="P26" s="242"/>
      <c r="Q26" s="242"/>
      <c r="R26" s="242"/>
      <c r="S26" s="242"/>
      <c r="T26" s="242"/>
      <c r="U26" s="242"/>
      <c r="V26" s="242"/>
      <c r="W26" s="242"/>
      <c r="X26" s="242"/>
      <c r="Y26" s="242"/>
      <c r="Z26" s="242"/>
      <c r="AA26" s="242"/>
      <c r="AB26" s="242"/>
      <c r="AC26" s="242"/>
      <c r="AD26" s="242"/>
      <c r="AE26" s="242"/>
      <c r="AF26" s="242"/>
      <c r="AG26" s="242"/>
      <c r="AH26" s="242"/>
      <c r="AI26" s="242"/>
      <c r="AJ26" s="242"/>
      <c r="AK26" s="242"/>
      <c r="AL26" s="242"/>
      <c r="AM26" s="242"/>
      <c r="AN26" s="242"/>
      <c r="AO26" s="242"/>
    </row>
    <row r="27" spans="1:41" s="129" customFormat="1" ht="39.75" hidden="1" customHeight="1" x14ac:dyDescent="0.3">
      <c r="A27" s="240"/>
      <c r="B27" s="420" t="s">
        <v>144</v>
      </c>
      <c r="C27" s="421"/>
      <c r="D27" s="421"/>
      <c r="E27" s="421"/>
      <c r="F27" s="422"/>
      <c r="G27" s="137"/>
      <c r="H27" s="407"/>
      <c r="I27" s="242"/>
      <c r="J27" s="242"/>
      <c r="K27" s="242"/>
      <c r="L27" s="242"/>
      <c r="M27" s="242"/>
      <c r="N27" s="242"/>
      <c r="O27" s="242"/>
      <c r="P27" s="242"/>
      <c r="Q27" s="242"/>
      <c r="R27" s="242"/>
      <c r="S27" s="242"/>
      <c r="T27" s="242"/>
      <c r="U27" s="242"/>
      <c r="V27" s="242"/>
      <c r="W27" s="242"/>
      <c r="X27" s="242"/>
      <c r="Y27" s="242"/>
      <c r="Z27" s="242"/>
      <c r="AA27" s="242"/>
      <c r="AB27" s="242"/>
      <c r="AC27" s="242"/>
      <c r="AD27" s="242"/>
      <c r="AE27" s="242"/>
      <c r="AF27" s="242"/>
      <c r="AG27" s="242"/>
      <c r="AH27" s="242"/>
      <c r="AI27" s="242"/>
      <c r="AJ27" s="242"/>
      <c r="AK27" s="242"/>
      <c r="AL27" s="242"/>
      <c r="AM27" s="242"/>
      <c r="AN27" s="242"/>
      <c r="AO27" s="242"/>
    </row>
    <row r="28" spans="1:41" s="129" customFormat="1" ht="24.9" hidden="1" customHeight="1" x14ac:dyDescent="0.3">
      <c r="A28" s="240"/>
      <c r="B28" s="423" t="s">
        <v>146</v>
      </c>
      <c r="C28" s="424"/>
      <c r="D28" s="424"/>
      <c r="E28" s="424"/>
      <c r="F28" s="425"/>
      <c r="G28" s="137"/>
      <c r="H28" s="407"/>
      <c r="I28" s="242"/>
      <c r="J28" s="242"/>
      <c r="K28" s="242"/>
      <c r="L28" s="242"/>
      <c r="M28" s="242"/>
      <c r="N28" s="242"/>
      <c r="O28" s="242"/>
      <c r="P28" s="242"/>
      <c r="Q28" s="242"/>
      <c r="R28" s="242"/>
      <c r="S28" s="242"/>
      <c r="T28" s="242"/>
      <c r="U28" s="242"/>
      <c r="V28" s="242"/>
      <c r="W28" s="242"/>
      <c r="X28" s="242"/>
      <c r="Y28" s="242"/>
      <c r="Z28" s="242"/>
      <c r="AA28" s="242"/>
      <c r="AB28" s="242"/>
      <c r="AC28" s="242"/>
      <c r="AD28" s="242"/>
      <c r="AE28" s="242"/>
      <c r="AF28" s="242"/>
      <c r="AG28" s="242"/>
      <c r="AH28" s="242"/>
      <c r="AI28" s="242"/>
      <c r="AJ28" s="242"/>
      <c r="AK28" s="242"/>
      <c r="AL28" s="242"/>
      <c r="AM28" s="242"/>
      <c r="AN28" s="242"/>
      <c r="AO28" s="242"/>
    </row>
    <row r="29" spans="1:41" s="129" customFormat="1" ht="24.9" hidden="1" customHeight="1" x14ac:dyDescent="0.3">
      <c r="A29" s="240"/>
      <c r="B29" s="423" t="s">
        <v>148</v>
      </c>
      <c r="C29" s="424"/>
      <c r="D29" s="424"/>
      <c r="E29" s="424"/>
      <c r="F29" s="425"/>
      <c r="G29" s="137"/>
      <c r="H29" s="408"/>
      <c r="I29" s="242"/>
      <c r="J29" s="242"/>
      <c r="K29" s="242"/>
      <c r="L29" s="242"/>
      <c r="M29" s="242"/>
      <c r="N29" s="242"/>
      <c r="O29" s="242"/>
      <c r="P29" s="242"/>
      <c r="Q29" s="242"/>
      <c r="R29" s="242"/>
      <c r="S29" s="242"/>
      <c r="T29" s="242"/>
      <c r="U29" s="242"/>
      <c r="V29" s="242"/>
      <c r="W29" s="242"/>
      <c r="X29" s="242"/>
      <c r="Y29" s="242"/>
      <c r="Z29" s="242"/>
      <c r="AA29" s="242"/>
      <c r="AB29" s="242"/>
      <c r="AC29" s="242"/>
      <c r="AD29" s="242"/>
      <c r="AE29" s="242"/>
      <c r="AF29" s="242"/>
      <c r="AG29" s="242"/>
      <c r="AH29" s="242"/>
      <c r="AI29" s="242"/>
      <c r="AJ29" s="242"/>
      <c r="AK29" s="242"/>
      <c r="AL29" s="242"/>
      <c r="AM29" s="242"/>
      <c r="AN29" s="242"/>
      <c r="AO29" s="242"/>
    </row>
    <row r="30" spans="1:41" s="129" customFormat="1" ht="48" hidden="1" customHeight="1" x14ac:dyDescent="0.3">
      <c r="A30" s="240">
        <v>3</v>
      </c>
      <c r="B30" s="398" t="s">
        <v>134</v>
      </c>
      <c r="C30" s="399"/>
      <c r="D30" s="399"/>
      <c r="E30" s="399"/>
      <c r="F30" s="400"/>
      <c r="G30" s="137"/>
      <c r="H30" s="160"/>
      <c r="I30" s="242"/>
      <c r="J30" s="242"/>
      <c r="K30" s="242"/>
      <c r="L30" s="242"/>
      <c r="M30" s="242"/>
      <c r="N30" s="242"/>
      <c r="O30" s="242"/>
      <c r="P30" s="242"/>
      <c r="Q30" s="242"/>
      <c r="R30" s="242"/>
      <c r="S30" s="242"/>
      <c r="T30" s="242"/>
      <c r="U30" s="242"/>
      <c r="V30" s="242"/>
      <c r="W30" s="242"/>
      <c r="X30" s="242"/>
      <c r="Y30" s="242"/>
      <c r="Z30" s="242"/>
      <c r="AA30" s="242"/>
      <c r="AB30" s="242"/>
      <c r="AC30" s="242"/>
      <c r="AD30" s="242"/>
      <c r="AE30" s="242"/>
      <c r="AF30" s="242"/>
      <c r="AG30" s="242"/>
      <c r="AH30" s="242"/>
      <c r="AI30" s="242"/>
      <c r="AJ30" s="242"/>
      <c r="AK30" s="242"/>
      <c r="AL30" s="242"/>
      <c r="AM30" s="242"/>
      <c r="AN30" s="242"/>
      <c r="AO30" s="242"/>
    </row>
    <row r="31" spans="1:41" s="129" customFormat="1" ht="46.2" hidden="1" customHeight="1" x14ac:dyDescent="0.3">
      <c r="A31" s="240">
        <v>4</v>
      </c>
      <c r="B31" s="409" t="s">
        <v>135</v>
      </c>
      <c r="C31" s="410"/>
      <c r="D31" s="410"/>
      <c r="E31" s="410"/>
      <c r="F31" s="411"/>
      <c r="G31" s="137"/>
      <c r="H31" s="160"/>
      <c r="I31" s="242"/>
      <c r="J31" s="242"/>
      <c r="K31" s="242"/>
      <c r="L31" s="242"/>
      <c r="M31" s="242"/>
      <c r="N31" s="242"/>
      <c r="O31" s="242"/>
      <c r="P31" s="242"/>
      <c r="Q31" s="242"/>
      <c r="R31" s="242"/>
      <c r="S31" s="242"/>
      <c r="T31" s="242"/>
      <c r="U31" s="242"/>
      <c r="V31" s="242"/>
      <c r="W31" s="242"/>
      <c r="X31" s="242"/>
      <c r="Y31" s="242"/>
      <c r="Z31" s="242"/>
      <c r="AA31" s="242"/>
      <c r="AB31" s="242"/>
      <c r="AC31" s="242"/>
      <c r="AD31" s="242"/>
      <c r="AE31" s="242"/>
      <c r="AF31" s="242"/>
      <c r="AG31" s="242"/>
      <c r="AH31" s="242"/>
      <c r="AI31" s="242"/>
      <c r="AJ31" s="242"/>
      <c r="AK31" s="242"/>
      <c r="AL31" s="242"/>
      <c r="AM31" s="242"/>
      <c r="AN31" s="242"/>
      <c r="AO31" s="242"/>
    </row>
    <row r="32" spans="1:41" s="129" customFormat="1" ht="46.2" hidden="1" customHeight="1" x14ac:dyDescent="0.3">
      <c r="A32" s="240">
        <v>5</v>
      </c>
      <c r="B32" s="417" t="s">
        <v>136</v>
      </c>
      <c r="C32" s="418"/>
      <c r="D32" s="418"/>
      <c r="E32" s="418"/>
      <c r="F32" s="419"/>
      <c r="G32" s="137"/>
      <c r="H32" s="160"/>
      <c r="I32" s="242"/>
      <c r="J32" s="242"/>
      <c r="K32" s="242"/>
      <c r="L32" s="242"/>
      <c r="M32" s="242"/>
      <c r="N32" s="242"/>
      <c r="O32" s="242"/>
      <c r="P32" s="242"/>
      <c r="Q32" s="242"/>
      <c r="R32" s="242"/>
      <c r="S32" s="242"/>
      <c r="T32" s="242"/>
      <c r="U32" s="242"/>
      <c r="V32" s="242"/>
      <c r="W32" s="242"/>
      <c r="X32" s="242"/>
      <c r="Y32" s="242"/>
      <c r="Z32" s="242"/>
      <c r="AA32" s="242"/>
      <c r="AB32" s="242"/>
      <c r="AC32" s="242"/>
      <c r="AD32" s="242"/>
      <c r="AE32" s="242"/>
      <c r="AF32" s="242"/>
      <c r="AG32" s="242"/>
      <c r="AH32" s="242"/>
      <c r="AI32" s="242"/>
      <c r="AJ32" s="242"/>
      <c r="AK32" s="242"/>
      <c r="AL32" s="242"/>
      <c r="AM32" s="242"/>
      <c r="AN32" s="242"/>
      <c r="AO32" s="242"/>
    </row>
    <row r="33" spans="1:41" s="129" customFormat="1" ht="46.2" hidden="1" customHeight="1" x14ac:dyDescent="0.3">
      <c r="A33" s="240">
        <v>6</v>
      </c>
      <c r="B33" s="398" t="s">
        <v>137</v>
      </c>
      <c r="C33" s="399"/>
      <c r="D33" s="399"/>
      <c r="E33" s="399"/>
      <c r="F33" s="400"/>
      <c r="G33" s="137"/>
      <c r="H33" s="160"/>
      <c r="I33" s="242"/>
      <c r="J33" s="242"/>
      <c r="K33" s="242"/>
      <c r="L33" s="242"/>
      <c r="M33" s="242"/>
      <c r="N33" s="242"/>
      <c r="O33" s="242"/>
      <c r="P33" s="242"/>
      <c r="Q33" s="242"/>
      <c r="R33" s="242"/>
      <c r="S33" s="242"/>
      <c r="T33" s="242"/>
      <c r="U33" s="242"/>
      <c r="V33" s="242"/>
      <c r="W33" s="242"/>
      <c r="X33" s="242"/>
      <c r="Y33" s="242"/>
      <c r="Z33" s="242"/>
      <c r="AA33" s="242"/>
      <c r="AB33" s="242"/>
      <c r="AC33" s="242"/>
      <c r="AD33" s="242"/>
      <c r="AE33" s="242"/>
      <c r="AF33" s="242"/>
      <c r="AG33" s="242"/>
      <c r="AH33" s="242"/>
      <c r="AI33" s="242"/>
      <c r="AJ33" s="242"/>
      <c r="AK33" s="242"/>
      <c r="AL33" s="242"/>
      <c r="AM33" s="242"/>
      <c r="AN33" s="242"/>
      <c r="AO33" s="242"/>
    </row>
    <row r="34" spans="1:41" s="129" customFormat="1" ht="46.2" hidden="1" customHeight="1" thickBot="1" x14ac:dyDescent="0.35">
      <c r="A34" s="240">
        <v>7</v>
      </c>
      <c r="B34" s="398" t="s">
        <v>138</v>
      </c>
      <c r="C34" s="399"/>
      <c r="D34" s="399"/>
      <c r="E34" s="399"/>
      <c r="F34" s="400"/>
      <c r="G34" s="155"/>
      <c r="H34" s="160"/>
      <c r="I34" s="242"/>
      <c r="J34" s="242"/>
      <c r="K34" s="242"/>
      <c r="L34" s="242"/>
      <c r="M34" s="242"/>
      <c r="N34" s="242"/>
      <c r="O34" s="242"/>
      <c r="P34" s="242"/>
      <c r="Q34" s="242"/>
      <c r="R34" s="242"/>
      <c r="S34" s="242"/>
      <c r="T34" s="242"/>
      <c r="U34" s="242"/>
      <c r="V34" s="242"/>
      <c r="W34" s="242"/>
      <c r="X34" s="242"/>
      <c r="Y34" s="242"/>
      <c r="Z34" s="242"/>
      <c r="AA34" s="242"/>
      <c r="AB34" s="242"/>
      <c r="AC34" s="242"/>
      <c r="AD34" s="242"/>
      <c r="AE34" s="242"/>
      <c r="AF34" s="242"/>
      <c r="AG34" s="242"/>
      <c r="AH34" s="242"/>
      <c r="AI34" s="242"/>
      <c r="AJ34" s="242"/>
      <c r="AK34" s="242"/>
      <c r="AL34" s="242"/>
      <c r="AM34" s="242"/>
      <c r="AN34" s="242"/>
      <c r="AO34" s="242"/>
    </row>
    <row r="35" spans="1:41" s="129" customFormat="1" ht="39" hidden="1" customHeight="1" thickBot="1" x14ac:dyDescent="0.35">
      <c r="A35" s="239"/>
      <c r="B35" s="401" t="str">
        <f>IF(AND(G10="Yes",H23="Yes",H23="YES",G30="Yes",G31="Yes",G32="Yes",G32="Yes",G33="Yes",G34="Yes"),"Policy Meets Mandatory Acceptance Requirement. Accept Policy if ALL other Coverage Requirements are met.",IF(AND(A19="No",OR(G10="No",H23="No",H23="No",G30="No",G31="No",G32="No",G32="No",G33="No",G34="No")),"Policy DOES NOT Meet Mandatory Acceptance Requirement AND CANNOT BE ACCEPTED.",""))</f>
        <v/>
      </c>
      <c r="C35" s="402"/>
      <c r="D35" s="402"/>
      <c r="E35" s="402"/>
      <c r="F35" s="402"/>
      <c r="G35" s="402"/>
      <c r="H35" s="403"/>
      <c r="I35" s="242"/>
      <c r="J35" s="242"/>
      <c r="K35" s="242"/>
      <c r="L35" s="242"/>
      <c r="M35" s="242"/>
      <c r="N35" s="242"/>
      <c r="O35" s="242"/>
      <c r="P35" s="242"/>
      <c r="Q35" s="242"/>
      <c r="R35" s="242"/>
      <c r="S35" s="242"/>
      <c r="T35" s="242"/>
      <c r="U35" s="242"/>
      <c r="V35" s="242"/>
      <c r="W35" s="242"/>
      <c r="X35" s="242"/>
      <c r="Y35" s="242"/>
      <c r="Z35" s="242"/>
      <c r="AA35" s="242"/>
      <c r="AB35" s="242"/>
      <c r="AC35" s="242"/>
      <c r="AD35" s="242"/>
      <c r="AE35" s="242"/>
      <c r="AF35" s="242"/>
      <c r="AG35" s="242"/>
      <c r="AH35" s="242"/>
      <c r="AI35" s="242"/>
      <c r="AJ35" s="242"/>
      <c r="AK35" s="242"/>
      <c r="AL35" s="242"/>
      <c r="AM35" s="242"/>
      <c r="AN35" s="242"/>
      <c r="AO35" s="242"/>
    </row>
    <row r="36" spans="1:41" s="238" customFormat="1" ht="33.75" customHeight="1" x14ac:dyDescent="0.3">
      <c r="A36" s="233"/>
      <c r="B36" s="244"/>
      <c r="C36" s="244"/>
      <c r="D36" s="244"/>
      <c r="E36" s="244"/>
      <c r="F36" s="244"/>
      <c r="G36" s="244"/>
      <c r="H36" s="244"/>
    </row>
    <row r="37" spans="1:41" ht="28.2" customHeight="1" x14ac:dyDescent="0.35">
      <c r="A37" s="233"/>
      <c r="B37" s="245"/>
      <c r="C37" s="246" t="s">
        <v>139</v>
      </c>
      <c r="D37" s="404"/>
      <c r="E37" s="404"/>
      <c r="F37" s="247"/>
      <c r="G37" s="246" t="s">
        <v>140</v>
      </c>
      <c r="H37" s="248"/>
      <c r="J37" s="238"/>
      <c r="K37" s="238"/>
      <c r="L37" s="238"/>
      <c r="M37" s="238"/>
      <c r="N37" s="238"/>
      <c r="O37" s="238"/>
      <c r="P37" s="238"/>
    </row>
    <row r="38" spans="1:41" ht="73.8" customHeight="1" x14ac:dyDescent="0.35">
      <c r="A38" s="233"/>
      <c r="B38" s="245"/>
      <c r="C38" s="246" t="s">
        <v>232</v>
      </c>
      <c r="D38" s="404"/>
      <c r="E38" s="404"/>
      <c r="F38" s="247"/>
      <c r="G38" s="246" t="s">
        <v>140</v>
      </c>
      <c r="H38" s="248"/>
      <c r="J38" s="238"/>
      <c r="K38" s="238"/>
      <c r="L38" s="238"/>
      <c r="M38" s="238"/>
      <c r="N38" s="238"/>
      <c r="O38" s="238"/>
      <c r="P38" s="238"/>
    </row>
    <row r="39" spans="1:41" ht="43.5" customHeight="1" x14ac:dyDescent="0.35">
      <c r="A39" s="233"/>
      <c r="B39" s="405" t="s">
        <v>186</v>
      </c>
      <c r="C39" s="405"/>
      <c r="D39" s="397"/>
      <c r="E39" s="397"/>
      <c r="F39" s="247"/>
      <c r="G39" s="246" t="s">
        <v>140</v>
      </c>
      <c r="H39" s="248"/>
      <c r="J39" s="238"/>
      <c r="K39" s="238"/>
      <c r="L39" s="238"/>
      <c r="M39" s="238"/>
      <c r="N39" s="238"/>
      <c r="O39" s="238"/>
      <c r="P39" s="238"/>
    </row>
    <row r="40" spans="1:41" ht="17.399999999999999" x14ac:dyDescent="0.35">
      <c r="A40" s="233"/>
      <c r="B40" s="245"/>
      <c r="C40" s="246"/>
      <c r="D40" s="247"/>
      <c r="E40" s="247"/>
      <c r="F40" s="247"/>
      <c r="G40" s="249"/>
      <c r="H40" s="247"/>
      <c r="J40" s="238"/>
      <c r="K40" s="238"/>
      <c r="L40" s="238"/>
      <c r="M40" s="238"/>
      <c r="N40" s="238"/>
      <c r="O40" s="238"/>
      <c r="P40" s="238"/>
    </row>
    <row r="41" spans="1:41" s="238" customFormat="1" x14ac:dyDescent="0.3">
      <c r="A41" s="233"/>
      <c r="B41" s="233"/>
      <c r="C41" s="236"/>
      <c r="D41" s="236"/>
      <c r="E41" s="236"/>
      <c r="F41" s="236"/>
      <c r="G41" s="237"/>
      <c r="H41" s="236"/>
    </row>
    <row r="42" spans="1:41" s="238" customFormat="1" x14ac:dyDescent="0.3">
      <c r="A42" s="233"/>
      <c r="B42" s="233"/>
      <c r="C42" s="236"/>
      <c r="D42" s="236"/>
      <c r="E42" s="236"/>
      <c r="F42" s="236"/>
      <c r="G42" s="237"/>
      <c r="H42" s="236"/>
    </row>
    <row r="43" spans="1:41" s="238" customFormat="1" x14ac:dyDescent="0.3">
      <c r="A43" s="233"/>
      <c r="B43" s="233"/>
      <c r="C43" s="236"/>
      <c r="D43" s="236"/>
      <c r="E43" s="236"/>
      <c r="F43" s="236"/>
      <c r="G43" s="237"/>
      <c r="H43" s="236"/>
    </row>
    <row r="44" spans="1:41" s="238" customFormat="1" x14ac:dyDescent="0.3">
      <c r="A44" s="233"/>
      <c r="B44" s="233"/>
      <c r="C44" s="236"/>
      <c r="D44" s="236"/>
      <c r="E44" s="236"/>
      <c r="F44" s="236"/>
      <c r="G44" s="237"/>
      <c r="H44" s="236"/>
    </row>
    <row r="45" spans="1:41" s="238" customFormat="1" x14ac:dyDescent="0.3">
      <c r="A45" s="233"/>
      <c r="B45" s="233"/>
      <c r="C45" s="236"/>
      <c r="D45" s="236"/>
      <c r="E45" s="236"/>
      <c r="F45" s="236"/>
      <c r="G45" s="237"/>
      <c r="H45" s="236"/>
    </row>
    <row r="46" spans="1:41" s="238" customFormat="1" x14ac:dyDescent="0.3">
      <c r="A46" s="233"/>
      <c r="B46" s="233"/>
      <c r="C46" s="236"/>
      <c r="D46" s="236"/>
      <c r="E46" s="236"/>
      <c r="F46" s="236"/>
      <c r="G46" s="237"/>
      <c r="H46" s="236"/>
    </row>
    <row r="47" spans="1:41" s="238" customFormat="1" x14ac:dyDescent="0.3">
      <c r="A47" s="233"/>
      <c r="B47" s="233"/>
      <c r="C47" s="236"/>
      <c r="D47" s="236"/>
      <c r="E47" s="236"/>
      <c r="F47" s="236"/>
      <c r="G47" s="237"/>
      <c r="H47" s="236"/>
    </row>
    <row r="48" spans="1:41" s="238" customFormat="1" x14ac:dyDescent="0.3">
      <c r="A48" s="233"/>
      <c r="B48" s="233"/>
      <c r="C48" s="236"/>
      <c r="D48" s="236"/>
      <c r="E48" s="236"/>
      <c r="F48" s="236"/>
      <c r="G48" s="237"/>
      <c r="H48" s="236"/>
    </row>
    <row r="49" spans="1:8" s="238" customFormat="1" x14ac:dyDescent="0.3">
      <c r="A49" s="233"/>
      <c r="B49" s="233"/>
      <c r="C49" s="236"/>
      <c r="D49" s="236"/>
      <c r="E49" s="236"/>
      <c r="F49" s="236"/>
      <c r="G49" s="237"/>
      <c r="H49" s="236"/>
    </row>
    <row r="50" spans="1:8" s="238" customFormat="1" x14ac:dyDescent="0.3">
      <c r="A50" s="233"/>
      <c r="B50" s="233"/>
      <c r="C50" s="236"/>
      <c r="D50" s="236"/>
      <c r="E50" s="236"/>
      <c r="F50" s="236"/>
      <c r="G50" s="237"/>
      <c r="H50" s="236"/>
    </row>
    <row r="51" spans="1:8" s="238" customFormat="1" x14ac:dyDescent="0.3">
      <c r="A51" s="233"/>
      <c r="B51" s="233"/>
      <c r="C51" s="236"/>
      <c r="D51" s="236"/>
      <c r="E51" s="236"/>
      <c r="F51" s="236"/>
      <c r="G51" s="237"/>
      <c r="H51" s="236"/>
    </row>
    <row r="52" spans="1:8" s="238" customFormat="1" x14ac:dyDescent="0.3">
      <c r="A52" s="233"/>
      <c r="B52" s="233"/>
      <c r="C52" s="236"/>
      <c r="D52" s="236"/>
      <c r="E52" s="236"/>
      <c r="F52" s="236"/>
      <c r="G52" s="237"/>
      <c r="H52" s="236"/>
    </row>
    <row r="53" spans="1:8" s="238" customFormat="1" x14ac:dyDescent="0.3">
      <c r="A53" s="233"/>
      <c r="B53" s="233"/>
      <c r="C53" s="236"/>
      <c r="D53" s="236"/>
      <c r="E53" s="236"/>
      <c r="F53" s="236"/>
      <c r="G53" s="237"/>
      <c r="H53" s="236"/>
    </row>
    <row r="54" spans="1:8" s="238" customFormat="1" x14ac:dyDescent="0.3">
      <c r="A54" s="233"/>
      <c r="B54" s="233"/>
      <c r="C54" s="236"/>
      <c r="D54" s="236"/>
      <c r="E54" s="236"/>
      <c r="F54" s="236"/>
      <c r="G54" s="237"/>
      <c r="H54" s="236"/>
    </row>
    <row r="55" spans="1:8" s="238" customFormat="1" x14ac:dyDescent="0.3">
      <c r="A55" s="233"/>
      <c r="B55" s="233"/>
      <c r="C55" s="236"/>
      <c r="D55" s="236"/>
      <c r="E55" s="236"/>
      <c r="F55" s="236"/>
      <c r="G55" s="237"/>
      <c r="H55" s="236"/>
    </row>
    <row r="56" spans="1:8" s="238" customFormat="1" x14ac:dyDescent="0.3">
      <c r="A56" s="233"/>
      <c r="B56" s="233"/>
      <c r="C56" s="236"/>
      <c r="D56" s="236"/>
      <c r="E56" s="236"/>
      <c r="F56" s="236"/>
      <c r="G56" s="237"/>
      <c r="H56" s="236"/>
    </row>
    <row r="57" spans="1:8" s="238" customFormat="1" x14ac:dyDescent="0.3">
      <c r="A57" s="233"/>
      <c r="B57" s="233"/>
      <c r="C57" s="236"/>
      <c r="D57" s="236"/>
      <c r="E57" s="236"/>
      <c r="F57" s="236"/>
      <c r="G57" s="237"/>
      <c r="H57" s="236"/>
    </row>
    <row r="58" spans="1:8" s="238" customFormat="1" x14ac:dyDescent="0.3">
      <c r="A58" s="233"/>
      <c r="B58" s="233"/>
      <c r="C58" s="236"/>
      <c r="D58" s="236"/>
      <c r="E58" s="236"/>
      <c r="F58" s="236"/>
      <c r="G58" s="237"/>
      <c r="H58" s="236"/>
    </row>
    <row r="59" spans="1:8" s="238" customFormat="1" x14ac:dyDescent="0.3">
      <c r="A59" s="233"/>
      <c r="B59" s="233"/>
      <c r="C59" s="236"/>
      <c r="D59" s="236"/>
      <c r="E59" s="236"/>
      <c r="F59" s="236"/>
      <c r="G59" s="237"/>
      <c r="H59" s="236"/>
    </row>
    <row r="60" spans="1:8" s="238" customFormat="1" x14ac:dyDescent="0.3">
      <c r="A60" s="233"/>
      <c r="B60" s="233"/>
      <c r="C60" s="236"/>
      <c r="D60" s="236"/>
      <c r="E60" s="236"/>
      <c r="F60" s="236"/>
      <c r="G60" s="237"/>
      <c r="H60" s="236"/>
    </row>
    <row r="61" spans="1:8" s="238" customFormat="1" x14ac:dyDescent="0.3">
      <c r="A61" s="233"/>
      <c r="B61" s="233"/>
      <c r="C61" s="236"/>
      <c r="D61" s="236"/>
      <c r="E61" s="236"/>
      <c r="F61" s="236"/>
      <c r="G61" s="237"/>
      <c r="H61" s="236"/>
    </row>
    <row r="62" spans="1:8" s="238" customFormat="1" x14ac:dyDescent="0.3">
      <c r="A62" s="233"/>
      <c r="B62" s="233"/>
      <c r="C62" s="236"/>
      <c r="D62" s="236"/>
      <c r="E62" s="236"/>
      <c r="F62" s="236"/>
      <c r="G62" s="237"/>
      <c r="H62" s="236"/>
    </row>
    <row r="63" spans="1:8" s="238" customFormat="1" x14ac:dyDescent="0.3">
      <c r="A63" s="233"/>
      <c r="B63" s="233"/>
      <c r="C63" s="236"/>
      <c r="D63" s="236"/>
      <c r="E63" s="236"/>
      <c r="F63" s="236"/>
      <c r="G63" s="237"/>
      <c r="H63" s="236"/>
    </row>
    <row r="64" spans="1:8" s="238" customFormat="1" x14ac:dyDescent="0.3">
      <c r="A64" s="233"/>
      <c r="B64" s="233"/>
      <c r="C64" s="236"/>
      <c r="D64" s="236"/>
      <c r="E64" s="236"/>
      <c r="F64" s="236"/>
      <c r="G64" s="237"/>
      <c r="H64" s="236"/>
    </row>
    <row r="65" spans="1:8" s="238" customFormat="1" x14ac:dyDescent="0.3">
      <c r="A65" s="233"/>
      <c r="B65" s="233"/>
      <c r="C65" s="236"/>
      <c r="D65" s="236"/>
      <c r="E65" s="236"/>
      <c r="F65" s="236"/>
      <c r="G65" s="237"/>
      <c r="H65" s="236"/>
    </row>
    <row r="66" spans="1:8" s="238" customFormat="1" x14ac:dyDescent="0.3">
      <c r="A66" s="233"/>
      <c r="B66" s="233"/>
      <c r="C66" s="236"/>
      <c r="D66" s="236"/>
      <c r="E66" s="236"/>
      <c r="F66" s="236"/>
      <c r="G66" s="237"/>
      <c r="H66" s="236"/>
    </row>
    <row r="67" spans="1:8" s="238" customFormat="1" x14ac:dyDescent="0.3">
      <c r="A67" s="233"/>
      <c r="B67" s="233"/>
      <c r="C67" s="236"/>
      <c r="D67" s="236"/>
      <c r="E67" s="236"/>
      <c r="F67" s="236"/>
      <c r="G67" s="237"/>
      <c r="H67" s="236"/>
    </row>
    <row r="68" spans="1:8" s="238" customFormat="1" x14ac:dyDescent="0.3">
      <c r="A68" s="233"/>
      <c r="B68" s="233"/>
      <c r="C68" s="236"/>
      <c r="D68" s="236"/>
      <c r="E68" s="236"/>
      <c r="F68" s="236"/>
      <c r="G68" s="237"/>
      <c r="H68" s="236"/>
    </row>
    <row r="69" spans="1:8" s="238" customFormat="1" x14ac:dyDescent="0.3">
      <c r="A69" s="233"/>
      <c r="B69" s="233"/>
      <c r="C69" s="236"/>
      <c r="D69" s="236"/>
      <c r="E69" s="236"/>
      <c r="F69" s="236"/>
      <c r="G69" s="237"/>
      <c r="H69" s="236"/>
    </row>
    <row r="70" spans="1:8" s="238" customFormat="1" x14ac:dyDescent="0.3">
      <c r="A70" s="233"/>
      <c r="B70" s="233"/>
      <c r="C70" s="236"/>
      <c r="D70" s="236"/>
      <c r="E70" s="236"/>
      <c r="F70" s="236"/>
      <c r="G70" s="237"/>
      <c r="H70" s="236"/>
    </row>
    <row r="71" spans="1:8" s="238" customFormat="1" x14ac:dyDescent="0.3">
      <c r="A71" s="233"/>
      <c r="B71" s="233"/>
      <c r="C71" s="236"/>
      <c r="D71" s="236"/>
      <c r="E71" s="236"/>
      <c r="F71" s="236"/>
      <c r="G71" s="237"/>
      <c r="H71" s="236"/>
    </row>
    <row r="72" spans="1:8" s="238" customFormat="1" x14ac:dyDescent="0.3">
      <c r="A72" s="233"/>
      <c r="B72" s="233"/>
      <c r="C72" s="236"/>
      <c r="D72" s="236"/>
      <c r="E72" s="236"/>
      <c r="F72" s="236"/>
      <c r="G72" s="237"/>
      <c r="H72" s="236"/>
    </row>
    <row r="73" spans="1:8" s="238" customFormat="1" x14ac:dyDescent="0.3">
      <c r="A73" s="233"/>
      <c r="B73" s="233"/>
      <c r="C73" s="236"/>
      <c r="D73" s="236"/>
      <c r="E73" s="236"/>
      <c r="F73" s="236"/>
      <c r="G73" s="237"/>
      <c r="H73" s="236"/>
    </row>
    <row r="74" spans="1:8" s="238" customFormat="1" x14ac:dyDescent="0.3">
      <c r="A74" s="233"/>
      <c r="B74" s="233"/>
      <c r="C74" s="236"/>
      <c r="D74" s="236"/>
      <c r="E74" s="236"/>
      <c r="F74" s="236"/>
      <c r="G74" s="237"/>
      <c r="H74" s="236"/>
    </row>
    <row r="75" spans="1:8" s="238" customFormat="1" x14ac:dyDescent="0.3">
      <c r="A75" s="233"/>
      <c r="B75" s="233"/>
      <c r="C75" s="236"/>
      <c r="D75" s="236"/>
      <c r="E75" s="236"/>
      <c r="F75" s="236"/>
      <c r="G75" s="237"/>
      <c r="H75" s="236"/>
    </row>
    <row r="76" spans="1:8" s="238" customFormat="1" x14ac:dyDescent="0.3">
      <c r="A76" s="233"/>
      <c r="B76" s="233"/>
      <c r="C76" s="236"/>
      <c r="D76" s="236"/>
      <c r="E76" s="236"/>
      <c r="F76" s="236"/>
      <c r="G76" s="237"/>
      <c r="H76" s="236"/>
    </row>
    <row r="77" spans="1:8" s="238" customFormat="1" x14ac:dyDescent="0.3">
      <c r="A77" s="233"/>
      <c r="B77" s="233"/>
      <c r="C77" s="236"/>
      <c r="D77" s="236"/>
      <c r="E77" s="236"/>
      <c r="F77" s="236"/>
      <c r="G77" s="237"/>
      <c r="H77" s="236"/>
    </row>
  </sheetData>
  <sheetProtection selectLockedCells="1"/>
  <mergeCells count="35">
    <mergeCell ref="B26:F26"/>
    <mergeCell ref="B10:F10"/>
    <mergeCell ref="B13:F13"/>
    <mergeCell ref="B19:H19"/>
    <mergeCell ref="G4:H4"/>
    <mergeCell ref="B7:F7"/>
    <mergeCell ref="B8:H8"/>
    <mergeCell ref="C17:F17"/>
    <mergeCell ref="C18:F18"/>
    <mergeCell ref="C20:H20"/>
    <mergeCell ref="C14:F14"/>
    <mergeCell ref="C15:F15"/>
    <mergeCell ref="C16:F16"/>
    <mergeCell ref="B32:F32"/>
    <mergeCell ref="B33:F33"/>
    <mergeCell ref="B30:F30"/>
    <mergeCell ref="B27:F27"/>
    <mergeCell ref="B29:F29"/>
    <mergeCell ref="B28:F28"/>
    <mergeCell ref="D2:E2"/>
    <mergeCell ref="D3:E3"/>
    <mergeCell ref="D4:E4"/>
    <mergeCell ref="I10:J10"/>
    <mergeCell ref="D39:E39"/>
    <mergeCell ref="B34:F34"/>
    <mergeCell ref="B35:H35"/>
    <mergeCell ref="D37:E37"/>
    <mergeCell ref="B39:C39"/>
    <mergeCell ref="D38:E38"/>
    <mergeCell ref="H26:H29"/>
    <mergeCell ref="B31:F31"/>
    <mergeCell ref="H24:H25"/>
    <mergeCell ref="B11:F11"/>
    <mergeCell ref="B12:F12"/>
    <mergeCell ref="B22:F22"/>
  </mergeCells>
  <conditionalFormatting sqref="G24">
    <cfRule type="expression" dxfId="15" priority="41">
      <formula>$G$24="NO"</formula>
    </cfRule>
    <cfRule type="expression" dxfId="14" priority="42">
      <formula>$G$24="YES"</formula>
    </cfRule>
  </conditionalFormatting>
  <conditionalFormatting sqref="B8">
    <cfRule type="expression" dxfId="13" priority="39">
      <formula>$G$7="No"</formula>
    </cfRule>
    <cfRule type="expression" dxfId="12" priority="40">
      <formula>$G$7="Yes"</formula>
    </cfRule>
  </conditionalFormatting>
  <conditionalFormatting sqref="G25">
    <cfRule type="expression" dxfId="11" priority="3">
      <formula>$G$25="No"</formula>
    </cfRule>
    <cfRule type="expression" dxfId="10" priority="30">
      <formula>$G$25="N/A"</formula>
    </cfRule>
    <cfRule type="expression" dxfId="9" priority="38">
      <formula>$G$25="YES"</formula>
    </cfRule>
  </conditionalFormatting>
  <conditionalFormatting sqref="G10:G18 G26:G34 G22">
    <cfRule type="expression" dxfId="8" priority="36">
      <formula>$G10="No"</formula>
    </cfRule>
    <cfRule type="expression" dxfId="7" priority="37">
      <formula>$G10="Yes"</formula>
    </cfRule>
  </conditionalFormatting>
  <conditionalFormatting sqref="E25">
    <cfRule type="expression" dxfId="6" priority="66">
      <formula>$D$4="Residential Building"</formula>
    </cfRule>
  </conditionalFormatting>
  <conditionalFormatting sqref="H23">
    <cfRule type="expression" dxfId="5" priority="77">
      <formula>$H23="No"</formula>
    </cfRule>
    <cfRule type="expression" dxfId="4" priority="78">
      <formula>$H23="Yes"</formula>
    </cfRule>
  </conditionalFormatting>
  <conditionalFormatting sqref="B35:H35">
    <cfRule type="expression" dxfId="3" priority="6">
      <formula>$B$35="Policy DOES NOT Meet Mandatory Acceptance Requirement AND CANNOT BE ACCEPTED."</formula>
    </cfRule>
    <cfRule type="expression" dxfId="2" priority="7">
      <formula>$B$35="Policy Meets Mandatory Acceptance Requirement. Accept Policy if all other Coverage Requirements are met."</formula>
    </cfRule>
  </conditionalFormatting>
  <conditionalFormatting sqref="B19:H19">
    <cfRule type="expression" dxfId="1" priority="1">
      <formula>$B$19="POLICY DOES NOT MEET DISCRETIONARY ACCEPTANCE AND MUST BE REVIEWED FOR MANDATORY ACCEPTANCE REQUIREMENTS"</formula>
    </cfRule>
    <cfRule type="expression" dxfId="0" priority="2">
      <formula>$B$19="POLICY MAY BE APPROVED UNDER DISCRETIONARY ACCEPTANCE REQUIREMENTS ONCE WRITTEN SUMMARY OF CONCLUSION IS DOCUMENTED BELOW"</formula>
    </cfRule>
  </conditionalFormatting>
  <dataValidations count="2">
    <dataValidation type="list" allowBlank="1" showInputMessage="1" showErrorMessage="1" sqref="G7 G26:G34 G10:G18" xr:uid="{99B99A9B-DECE-491F-BC5B-7B149B3272FD}">
      <formula1>"Yes, No"</formula1>
    </dataValidation>
    <dataValidation type="list" allowBlank="1" showInputMessage="1" showErrorMessage="1" sqref="D4:E4" xr:uid="{6B248938-F2E4-43B7-9B92-3BDB32A6975B}">
      <formula1>"Residential Building, Commercial Building, Other Residential Building, Residential Condominium"</formula1>
    </dataValidation>
  </dataValidations>
  <printOptions horizontalCentered="1"/>
  <pageMargins left="0" right="0" top="0.5" bottom="0.25" header="0.25" footer="0.25"/>
  <pageSetup scale="53" orientation="portrait" r:id="rId1"/>
  <headerFooter>
    <oddHeader>&amp;C&amp;F</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23555" r:id="rId4" name="Button 3">
              <controlPr defaultSize="0" print="0" autoFill="0" autoPict="0" macro="[0]!NEWCLEARBUTTON">
                <anchor moveWithCells="1" sizeWithCells="1">
                  <from>
                    <xdr:col>8</xdr:col>
                    <xdr:colOff>480060</xdr:colOff>
                    <xdr:row>1</xdr:row>
                    <xdr:rowOff>7620</xdr:rowOff>
                  </from>
                  <to>
                    <xdr:col>9</xdr:col>
                    <xdr:colOff>525780</xdr:colOff>
                    <xdr:row>3</xdr:row>
                    <xdr:rowOff>121920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010F05-FC81-4A31-BD75-4D3BF8C59B03}">
  <sheetPr codeName="Sheet7">
    <tabColor theme="6" tint="0.39997558519241921"/>
  </sheetPr>
  <dimension ref="A2:J40"/>
  <sheetViews>
    <sheetView workbookViewId="0">
      <selection activeCell="F6" sqref="F6"/>
    </sheetView>
  </sheetViews>
  <sheetFormatPr defaultRowHeight="15.6" x14ac:dyDescent="0.3"/>
  <cols>
    <col min="1" max="1" width="27" style="169" customWidth="1"/>
    <col min="2" max="2" width="23" customWidth="1"/>
    <col min="5" max="5" width="28.33203125" customWidth="1"/>
    <col min="6" max="6" width="21.5546875" customWidth="1"/>
    <col min="7" max="7" width="21" style="272" customWidth="1"/>
  </cols>
  <sheetData>
    <row r="2" spans="1:10" x14ac:dyDescent="0.3">
      <c r="A2" s="168" t="s">
        <v>162</v>
      </c>
      <c r="C2" s="176" t="s">
        <v>161</v>
      </c>
    </row>
    <row r="4" spans="1:10" ht="17.399999999999999" x14ac:dyDescent="0.35">
      <c r="A4" s="445" t="s">
        <v>151</v>
      </c>
      <c r="B4" s="445"/>
      <c r="C4" s="445"/>
      <c r="D4" s="445"/>
    </row>
    <row r="5" spans="1:10" x14ac:dyDescent="0.3">
      <c r="A5" s="168"/>
    </row>
    <row r="6" spans="1:10" x14ac:dyDescent="0.3">
      <c r="A6" s="194" t="s">
        <v>152</v>
      </c>
      <c r="B6" s="176" t="s">
        <v>154</v>
      </c>
      <c r="C6" s="169"/>
      <c r="D6" s="169"/>
      <c r="E6" s="169"/>
      <c r="F6" s="169"/>
      <c r="G6" s="273"/>
      <c r="H6" s="169"/>
      <c r="I6" s="169"/>
      <c r="J6" s="169"/>
    </row>
    <row r="7" spans="1:10" x14ac:dyDescent="0.3">
      <c r="A7" s="194"/>
      <c r="B7" s="170"/>
      <c r="C7" s="169"/>
      <c r="D7" s="169"/>
      <c r="E7" s="169"/>
      <c r="F7" s="169"/>
      <c r="G7" s="273"/>
      <c r="H7" s="169"/>
      <c r="I7" s="169"/>
      <c r="J7" s="169"/>
    </row>
    <row r="8" spans="1:10" x14ac:dyDescent="0.3">
      <c r="A8" s="194" t="s">
        <v>153</v>
      </c>
      <c r="B8" s="177" t="s">
        <v>155</v>
      </c>
      <c r="C8" s="169"/>
      <c r="D8" s="169"/>
      <c r="E8" s="169"/>
      <c r="F8" s="169"/>
      <c r="G8" s="273"/>
      <c r="H8" s="169"/>
      <c r="I8" s="169"/>
      <c r="J8" s="169"/>
    </row>
    <row r="9" spans="1:10" x14ac:dyDescent="0.3">
      <c r="A9" s="194"/>
      <c r="B9" s="197"/>
      <c r="C9" s="169"/>
      <c r="D9" s="169"/>
      <c r="E9" s="169"/>
      <c r="F9" s="169"/>
      <c r="G9" s="273"/>
      <c r="H9" s="169"/>
      <c r="I9" s="169"/>
      <c r="J9" s="169"/>
    </row>
    <row r="10" spans="1:10" x14ac:dyDescent="0.3">
      <c r="A10" s="194" t="s">
        <v>164</v>
      </c>
      <c r="B10" s="176" t="s">
        <v>163</v>
      </c>
      <c r="C10" s="169"/>
      <c r="D10" s="169"/>
      <c r="E10" s="169"/>
      <c r="F10" s="169"/>
      <c r="G10" s="273"/>
      <c r="H10" s="169"/>
      <c r="I10" s="169"/>
      <c r="J10" s="169"/>
    </row>
    <row r="11" spans="1:10" x14ac:dyDescent="0.3">
      <c r="B11" s="169"/>
      <c r="C11" s="169"/>
      <c r="D11" s="169"/>
      <c r="E11" s="169"/>
      <c r="F11" s="169"/>
      <c r="G11" s="273"/>
      <c r="H11" s="169"/>
      <c r="I11" s="169"/>
      <c r="J11" s="169"/>
    </row>
    <row r="12" spans="1:10" x14ac:dyDescent="0.3">
      <c r="B12" s="169"/>
      <c r="C12" s="169"/>
      <c r="D12" s="169"/>
      <c r="E12" s="169"/>
      <c r="F12" s="169"/>
      <c r="G12" s="273"/>
      <c r="H12" s="169"/>
      <c r="I12" s="169"/>
      <c r="J12" s="169"/>
    </row>
    <row r="13" spans="1:10" x14ac:dyDescent="0.3">
      <c r="A13" s="217"/>
      <c r="B13" s="217"/>
      <c r="C13" s="217"/>
      <c r="D13" s="217"/>
      <c r="E13" s="217"/>
      <c r="F13" s="217"/>
      <c r="G13" s="274"/>
      <c r="H13" s="169"/>
      <c r="I13" s="169"/>
      <c r="J13" s="169"/>
    </row>
    <row r="14" spans="1:10" x14ac:dyDescent="0.3">
      <c r="B14" s="169"/>
      <c r="C14" s="169"/>
      <c r="D14" s="169"/>
      <c r="E14" s="169"/>
      <c r="F14" s="169"/>
      <c r="G14" s="273"/>
      <c r="H14" s="169"/>
      <c r="I14" s="169"/>
      <c r="J14" s="169"/>
    </row>
    <row r="15" spans="1:10" x14ac:dyDescent="0.3">
      <c r="B15" s="169"/>
      <c r="C15" s="169"/>
      <c r="D15" s="169"/>
      <c r="F15" s="169"/>
      <c r="G15" s="273"/>
      <c r="H15" s="169"/>
      <c r="I15" s="169"/>
      <c r="J15" s="169"/>
    </row>
    <row r="16" spans="1:10" ht="17.399999999999999" x14ac:dyDescent="0.35">
      <c r="A16" s="445" t="s">
        <v>149</v>
      </c>
      <c r="B16" s="445"/>
      <c r="C16" s="178" t="s">
        <v>156</v>
      </c>
      <c r="D16" s="169"/>
      <c r="F16" s="169"/>
      <c r="G16" s="273"/>
      <c r="H16" s="169"/>
      <c r="I16" s="169"/>
      <c r="J16" s="169"/>
    </row>
    <row r="17" spans="1:10" x14ac:dyDescent="0.3">
      <c r="B17" s="169"/>
      <c r="C17" s="169"/>
      <c r="D17" s="169"/>
      <c r="F17" s="169"/>
      <c r="G17" s="273"/>
      <c r="H17" s="169"/>
      <c r="I17" s="169"/>
      <c r="J17" s="169"/>
    </row>
    <row r="18" spans="1:10" x14ac:dyDescent="0.3">
      <c r="A18" s="444" t="s">
        <v>165</v>
      </c>
      <c r="B18" s="444"/>
      <c r="C18" s="444"/>
      <c r="D18" s="444"/>
      <c r="E18" s="444"/>
    </row>
    <row r="19" spans="1:10" x14ac:dyDescent="0.3">
      <c r="A19" s="196" t="s">
        <v>167</v>
      </c>
    </row>
    <row r="20" spans="1:10" x14ac:dyDescent="0.3">
      <c r="A20" s="194"/>
      <c r="B20" s="195"/>
      <c r="C20" s="195"/>
    </row>
    <row r="21" spans="1:10" x14ac:dyDescent="0.3">
      <c r="A21" s="196" t="s">
        <v>166</v>
      </c>
    </row>
    <row r="22" spans="1:10" x14ac:dyDescent="0.3">
      <c r="A22" s="194"/>
    </row>
    <row r="23" spans="1:10" x14ac:dyDescent="0.3">
      <c r="A23" s="196" t="s">
        <v>168</v>
      </c>
    </row>
    <row r="26" spans="1:10" x14ac:dyDescent="0.3">
      <c r="A26" s="221" t="s">
        <v>189</v>
      </c>
      <c r="E26" s="446" t="s">
        <v>215</v>
      </c>
      <c r="F26" s="446"/>
      <c r="G26" s="446"/>
    </row>
    <row r="27" spans="1:10" ht="14.4" x14ac:dyDescent="0.3">
      <c r="A27"/>
      <c r="B27" s="183"/>
    </row>
    <row r="28" spans="1:10" x14ac:dyDescent="0.3">
      <c r="B28" s="204" t="s">
        <v>190</v>
      </c>
      <c r="E28" s="183"/>
      <c r="F28" s="271" t="s">
        <v>216</v>
      </c>
      <c r="G28" s="275" t="s">
        <v>217</v>
      </c>
    </row>
    <row r="29" spans="1:10" x14ac:dyDescent="0.3">
      <c r="A29" s="218" t="s">
        <v>191</v>
      </c>
      <c r="B29" s="219">
        <v>10000</v>
      </c>
      <c r="E29" s="218" t="s">
        <v>191</v>
      </c>
      <c r="F29" s="219">
        <v>250000</v>
      </c>
      <c r="G29" s="276">
        <v>100000</v>
      </c>
    </row>
    <row r="30" spans="1:10" x14ac:dyDescent="0.3">
      <c r="A30" s="218" t="s">
        <v>192</v>
      </c>
      <c r="B30" s="219">
        <v>25000</v>
      </c>
      <c r="E30" s="218" t="s">
        <v>192</v>
      </c>
      <c r="F30" s="219" t="s">
        <v>218</v>
      </c>
      <c r="G30" s="276">
        <v>100000</v>
      </c>
    </row>
    <row r="31" spans="1:10" x14ac:dyDescent="0.3">
      <c r="A31" s="218" t="s">
        <v>193</v>
      </c>
      <c r="B31" s="219">
        <v>50000</v>
      </c>
      <c r="E31" s="218" t="s">
        <v>193</v>
      </c>
      <c r="F31" s="219">
        <v>500000</v>
      </c>
      <c r="G31" s="276">
        <v>500000</v>
      </c>
    </row>
    <row r="32" spans="1:10" x14ac:dyDescent="0.3">
      <c r="A32" s="218" t="s">
        <v>194</v>
      </c>
      <c r="B32" s="219">
        <v>50000</v>
      </c>
      <c r="E32" s="218" t="s">
        <v>194</v>
      </c>
      <c r="F32" s="219">
        <v>500000</v>
      </c>
      <c r="G32" s="276">
        <v>100000</v>
      </c>
    </row>
    <row r="33" spans="1:2" x14ac:dyDescent="0.3">
      <c r="B33" s="220"/>
    </row>
    <row r="34" spans="1:2" x14ac:dyDescent="0.3">
      <c r="B34" s="220"/>
    </row>
    <row r="35" spans="1:2" x14ac:dyDescent="0.3">
      <c r="B35" s="204" t="s">
        <v>195</v>
      </c>
    </row>
    <row r="36" spans="1:2" x14ac:dyDescent="0.3">
      <c r="A36" s="218" t="s">
        <v>191</v>
      </c>
      <c r="B36" s="219">
        <v>10000</v>
      </c>
    </row>
    <row r="37" spans="1:2" x14ac:dyDescent="0.3">
      <c r="A37" s="218" t="s">
        <v>192</v>
      </c>
      <c r="B37" s="219">
        <v>25000</v>
      </c>
    </row>
    <row r="38" spans="1:2" x14ac:dyDescent="0.3">
      <c r="A38" s="218" t="s">
        <v>193</v>
      </c>
      <c r="B38" s="219">
        <v>50000</v>
      </c>
    </row>
    <row r="39" spans="1:2" x14ac:dyDescent="0.3">
      <c r="A39" s="218" t="s">
        <v>194</v>
      </c>
      <c r="B39" s="219">
        <v>50000</v>
      </c>
    </row>
    <row r="40" spans="1:2" ht="14.4" x14ac:dyDescent="0.3">
      <c r="A40"/>
      <c r="B40" s="183"/>
    </row>
  </sheetData>
  <sheetProtection algorithmName="SHA-512" hashValue="tZ/as1zvgYxUEVfD9YpBOszt32slkee1sOZKHNRV8j3WuykT09nxkkNhnD1CG1nGc+jUMgQZ5ut99cPXOofijA==" saltValue="ZXg+vPBAWYLjsbBL6gC7yg==" spinCount="100000" sheet="1" objects="1" scenarios="1"/>
  <mergeCells count="4">
    <mergeCell ref="A18:E18"/>
    <mergeCell ref="A4:D4"/>
    <mergeCell ref="A16:B16"/>
    <mergeCell ref="E26:G26"/>
  </mergeCells>
  <hyperlinks>
    <hyperlink ref="B6" r:id="rId1" xr:uid="{0BA247E0-2329-48E3-8E1B-AB083631D7E1}"/>
    <hyperlink ref="B8" r:id="rId2" xr:uid="{4BBD4DCD-E257-42DE-9654-755E4511A8B5}"/>
    <hyperlink ref="C16" r:id="rId3" display="https://www.fema.gov/flood-insurance-manual" xr:uid="{04903576-D29E-4E73-B366-E95F0C20BC52}"/>
    <hyperlink ref="C2" r:id="rId4" xr:uid="{D027D3B6-D8AB-4800-AD21-EB60CC95D072}"/>
    <hyperlink ref="B10" r:id="rId5" xr:uid="{7DD0F1F9-21B7-4BAC-804D-8B066C52A1C9}"/>
  </hyperlinks>
  <pageMargins left="0.7" right="0.7" top="0.75" bottom="0.75" header="0.3" footer="0.3"/>
  <pageSetup orientation="portrait" verticalDpi="0" r:id="rId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
  <sheetViews>
    <sheetView workbookViewId="0">
      <selection activeCell="O21" sqref="O21"/>
    </sheetView>
  </sheetViews>
  <sheetFormatPr defaultRowHeight="14.4" x14ac:dyDescent="0.3"/>
  <sheetData/>
  <pageMargins left="0.7" right="0.7" top="0.75" bottom="0.75" header="0.3" footer="0.3"/>
  <pageSetup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A14"/>
  <sheetViews>
    <sheetView workbookViewId="0">
      <selection activeCell="H16" sqref="H16"/>
    </sheetView>
  </sheetViews>
  <sheetFormatPr defaultRowHeight="14.4" x14ac:dyDescent="0.3"/>
  <sheetData>
    <row r="1" spans="1:1" ht="15.6" x14ac:dyDescent="0.3">
      <c r="A1" s="8" t="s">
        <v>40</v>
      </c>
    </row>
    <row r="2" spans="1:1" ht="15.6" x14ac:dyDescent="0.3">
      <c r="A2" s="1" t="s">
        <v>41</v>
      </c>
    </row>
    <row r="3" spans="1:1" ht="15.6" x14ac:dyDescent="0.3">
      <c r="A3" s="1" t="s">
        <v>39</v>
      </c>
    </row>
    <row r="4" spans="1:1" ht="15.6" x14ac:dyDescent="0.3">
      <c r="A4" s="1" t="s">
        <v>58</v>
      </c>
    </row>
    <row r="6" spans="1:1" ht="15.6" x14ac:dyDescent="0.3">
      <c r="A6" s="8" t="s">
        <v>42</v>
      </c>
    </row>
    <row r="7" spans="1:1" ht="15.6" x14ac:dyDescent="0.3">
      <c r="A7" s="1" t="s">
        <v>43</v>
      </c>
    </row>
    <row r="8" spans="1:1" ht="15.6" x14ac:dyDescent="0.3">
      <c r="A8" s="1" t="s">
        <v>44</v>
      </c>
    </row>
    <row r="9" spans="1:1" ht="15.6" x14ac:dyDescent="0.3">
      <c r="A9" s="1" t="s">
        <v>45</v>
      </c>
    </row>
    <row r="10" spans="1:1" ht="15.6" x14ac:dyDescent="0.3">
      <c r="A10" s="1" t="s">
        <v>46</v>
      </c>
    </row>
    <row r="13" spans="1:1" ht="15.6" x14ac:dyDescent="0.3">
      <c r="A13" s="1" t="s">
        <v>47</v>
      </c>
    </row>
    <row r="14" spans="1:1" ht="15.6" x14ac:dyDescent="0.3">
      <c r="A14" s="1" t="s">
        <v>23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A5C25FE4C81B44E800A19DBEEF216AB" ma:contentTypeVersion="9" ma:contentTypeDescription="Create a new document." ma:contentTypeScope="" ma:versionID="00646d902cd41b8ff23e752bf0d18fdf">
  <xsd:schema xmlns:xsd="http://www.w3.org/2001/XMLSchema" xmlns:xs="http://www.w3.org/2001/XMLSchema" xmlns:p="http://schemas.microsoft.com/office/2006/metadata/properties" xmlns:ns1="http://schemas.microsoft.com/sharepoint/v3" xmlns:ns2="4b1be370-c3fe-479d-b2a5-8e947d51c2fa" xmlns:ns3="62c693cb-7b5a-45b4-8da0-2c53be6cccc6" xmlns:ns4="5fdef3e4-a9c7-4a96-a6b8-3cb3e9eb1402" targetNamespace="http://schemas.microsoft.com/office/2006/metadata/properties" ma:root="true" ma:fieldsID="00b66d7df82207c7dda01dfcf5f83d17" ns1:_="" ns2:_="" ns3:_="" ns4:_="">
    <xsd:import namespace="http://schemas.microsoft.com/sharepoint/v3"/>
    <xsd:import namespace="4b1be370-c3fe-479d-b2a5-8e947d51c2fa"/>
    <xsd:import namespace="62c693cb-7b5a-45b4-8da0-2c53be6cccc6"/>
    <xsd:import namespace="5fdef3e4-a9c7-4a96-a6b8-3cb3e9eb1402"/>
    <xsd:element name="properties">
      <xsd:complexType>
        <xsd:sequence>
          <xsd:element name="documentManagement">
            <xsd:complexType>
              <xsd:all>
                <xsd:element ref="ns1:PublishingStartDate" minOccurs="0"/>
                <xsd:element ref="ns1:PublishingExpirationDate" minOccurs="0"/>
                <xsd:element ref="ns2:Document_x0020_Type" minOccurs="0"/>
                <xsd:element ref="ns2:Loan_x0020_Type" minOccurs="0"/>
                <xsd:element ref="ns3:SharedWithUsers" minOccurs="0"/>
                <xsd:element ref="ns3:SharingHintHash" minOccurs="0"/>
                <xsd:element ref="ns2:SharedWithDetails" minOccurs="0"/>
                <xsd:element ref="ns4:MediaServiceMetadata" minOccurs="0"/>
                <xsd:element ref="ns4: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Scheduling Start Date" ma:description="Scheduling Start Date is a site column created by the Publishing feature. It is used to specify the date and time on which this page will first appear to site visitors." ma:internalName="PublishingStartDate">
      <xsd:simpleType>
        <xsd:restriction base="dms:Unknown"/>
      </xsd:simpleType>
    </xsd:element>
    <xsd:element name="PublishingExpirationDate" ma:index="9" nillable="true" ma:displayName="Scheduling End Date" ma:description="Scheduling End Date is a site column created by the Publishing feature. It is used to specify the date and time on which this page will no longer appear to site visitors."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4b1be370-c3fe-479d-b2a5-8e947d51c2fa" elementFormDefault="qualified">
    <xsd:import namespace="http://schemas.microsoft.com/office/2006/documentManagement/types"/>
    <xsd:import namespace="http://schemas.microsoft.com/office/infopath/2007/PartnerControls"/>
    <xsd:element name="Document_x0020_Type" ma:index="10" nillable="true" ma:displayName="Document Type" ma:format="Dropdown" ma:internalName="Document_x0020_Type">
      <xsd:simpleType>
        <xsd:restriction base="dms:Choice">
          <xsd:enumeration value="Application"/>
          <xsd:enumeration value="Disclosure"/>
          <xsd:enumeration value="Document"/>
          <xsd:enumeration value="Flyer"/>
          <xsd:enumeration value="Newsletter"/>
          <xsd:enumeration value="Presentation"/>
          <xsd:enumeration value="Script"/>
        </xsd:restriction>
      </xsd:simpleType>
    </xsd:element>
    <xsd:element name="Loan_x0020_Type" ma:index="11" nillable="true" ma:displayName="Loan Type" ma:description="Select all that apply" ma:internalName="Loan_x0020_Type">
      <xsd:complexType>
        <xsd:complexContent>
          <xsd:extension base="dms:MultiChoice">
            <xsd:sequence>
              <xsd:element name="Value" maxOccurs="unbounded" minOccurs="0" nillable="true">
                <xsd:simpleType>
                  <xsd:restriction base="dms:Choice">
                    <xsd:enumeration value="Commercial Ag"/>
                    <xsd:enumeration value="Commercial Credit Card"/>
                    <xsd:enumeration value="Commercial Loss Share"/>
                    <xsd:enumeration value="Commercial Non-RE"/>
                    <xsd:enumeration value="Commercial RE"/>
                    <xsd:enumeration value="Commercial SBA"/>
                    <xsd:enumeration value="Commercial Special Assets"/>
                    <xsd:enumeration value="Consumer Credit Card"/>
                    <xsd:enumeration value="Consumer Non-RE"/>
                    <xsd:enumeration value="Consumer PRA"/>
                    <xsd:enumeration value="Consumer RE"/>
                    <xsd:enumeration value="Corporate"/>
                    <xsd:enumeration value="Mortgage Correspondent"/>
                    <xsd:enumeration value="Mortgage Encompass"/>
                    <xsd:enumeration value="Mortgage Purchase Facility"/>
                    <xsd:enumeration value="Mortgage Secondary Market"/>
                    <xsd:enumeration value="Retail Mortgage Conforming"/>
                    <xsd:enumeration value="Retail Mortgage FHA"/>
                    <xsd:enumeration value="Retail Mortgage NonConforming"/>
                    <xsd:enumeration value="Retail Mortgage USDA"/>
                    <xsd:enumeration value="Retail Mortgage VA"/>
                    <xsd:enumeration value="Wholesale Mortgage"/>
                  </xsd:restriction>
                </xsd:simpleType>
              </xsd:element>
            </xsd:sequence>
          </xsd:extension>
        </xsd:complexContent>
      </xsd:complexType>
    </xsd:element>
    <xsd:element name="SharedWithDetails" ma:index="14" nillable="true" ma:displayName="Shared With Details"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2c693cb-7b5a-45b4-8da0-2c53be6cccc6"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ingHintHash" ma:index="13" nillable="true" ma:displayName="Sharing Hint Hash"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fdef3e4-a9c7-4a96-a6b8-3cb3e9eb1402" elementFormDefault="qualified">
    <xsd:import namespace="http://schemas.microsoft.com/office/2006/documentManagement/types"/>
    <xsd:import namespace="http://schemas.microsoft.com/office/infopath/2007/PartnerControls"/>
    <xsd:element name="MediaServiceMetadata" ma:index="15" nillable="true" ma:displayName="MediaServiceMetadata" ma:description="" ma:hidden="true" ma:internalName="MediaServiceMetadata" ma:readOnly="true">
      <xsd:simpleType>
        <xsd:restriction base="dms:Note"/>
      </xsd:simpleType>
    </xsd:element>
    <xsd:element name="MediaServiceFastMetadata" ma:index="16"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oan_x0020_Type xmlns="4b1be370-c3fe-479d-b2a5-8e947d51c2fa">
      <Value>Commercial Ag</Value>
      <Value>Commercial Loss Share</Value>
      <Value>Commercial RE</Value>
      <Value>Commercial SBA</Value>
      <Value>Commercial Special Assets</Value>
      <Value>Consumer RE</Value>
    </Loan_x0020_Type>
    <PublishingExpirationDate xmlns="http://schemas.microsoft.com/sharepoint/v3" xsi:nil="true"/>
    <PublishingStartDate xmlns="http://schemas.microsoft.com/sharepoint/v3" xsi:nil="true"/>
    <Document_x0020_Type xmlns="4b1be370-c3fe-479d-b2a5-8e947d51c2fa">Document</Document_x0020_Type>
  </documentManagement>
</p:properties>
</file>

<file path=customXml/itemProps1.xml><?xml version="1.0" encoding="utf-8"?>
<ds:datastoreItem xmlns:ds="http://schemas.openxmlformats.org/officeDocument/2006/customXml" ds:itemID="{FBBBDEA1-5CFF-4275-949E-47597B3AB8A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4b1be370-c3fe-479d-b2a5-8e947d51c2fa"/>
    <ds:schemaRef ds:uri="62c693cb-7b5a-45b4-8da0-2c53be6cccc6"/>
    <ds:schemaRef ds:uri="5fdef3e4-a9c7-4a96-a6b8-3cb3e9eb14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F0722C2-22EF-4621-AC52-85ECACC08591}">
  <ds:schemaRefs>
    <ds:schemaRef ds:uri="http://schemas.microsoft.com/sharepoint/v3/contenttype/forms"/>
  </ds:schemaRefs>
</ds:datastoreItem>
</file>

<file path=customXml/itemProps3.xml><?xml version="1.0" encoding="utf-8"?>
<ds:datastoreItem xmlns:ds="http://schemas.openxmlformats.org/officeDocument/2006/customXml" ds:itemID="{44F995AE-283B-46C9-839F-22DFEE4D635D}">
  <ds:schemaRefs>
    <ds:schemaRef ds:uri="5fdef3e4-a9c7-4a96-a6b8-3cb3e9eb1402"/>
    <ds:schemaRef ds:uri="http://schemas.microsoft.com/office/2006/documentManagement/types"/>
    <ds:schemaRef ds:uri="http://schemas.microsoft.com/office/infopath/2007/PartnerControls"/>
    <ds:schemaRef ds:uri="http://purl.org/dc/elements/1.1/"/>
    <ds:schemaRef ds:uri="62c693cb-7b5a-45b4-8da0-2c53be6cccc6"/>
    <ds:schemaRef ds:uri="http://schemas.microsoft.com/office/2006/metadata/properties"/>
    <ds:schemaRef ds:uri="http://schemas.openxmlformats.org/package/2006/metadata/core-properties"/>
    <ds:schemaRef ds:uri="4b1be370-c3fe-479d-b2a5-8e947d51c2fa"/>
    <ds:schemaRef ds:uri="http://purl.org/dc/terms/"/>
    <ds:schemaRef ds:uri="http://schemas.microsoft.com/sharepoint/v3"/>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Read Me First</vt:lpstr>
      <vt:lpstr>Res &amp; Com Calculator</vt:lpstr>
      <vt:lpstr> Condo Calculator</vt:lpstr>
      <vt:lpstr>Private Flood Ins Checklist</vt:lpstr>
      <vt:lpstr>PRIVATE FLOOD INFORMATION</vt:lpstr>
      <vt:lpstr>Insurable Value Waterfall</vt:lpstr>
      <vt:lpstr>Drop Down</vt:lpstr>
      <vt:lpstr>'Private Flood Ins Checklist'!Print_Area</vt:lpstr>
      <vt:lpstr>'Res &amp; Com Calculator'!Print_Area</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Flood Insurance Calculator 2017</dc:title>
  <dc:creator>neda.tabaridunn@amerisbank.com</dc:creator>
  <cp:lastModifiedBy>Ma, Cassie</cp:lastModifiedBy>
  <cp:lastPrinted>2021-05-10T18:03:22Z</cp:lastPrinted>
  <dcterms:created xsi:type="dcterms:W3CDTF">2017-02-28T15:50:10Z</dcterms:created>
  <dcterms:modified xsi:type="dcterms:W3CDTF">2023-11-03T12:43:56Z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0x0101009A5C25FE4C81B44E800A19DBEEF216AB</vt:lpwstr>
  </property>
  <property fmtid="{D5CDD505-2E9C-101B-9397-08002B2CF9AE}" pid="3" name="MSIP_Label_390ead1b-2ced-4a17-a428-0ccbf3974336_Enabled">
    <vt:lpwstr>true</vt:lpwstr>
  </property>
  <property fmtid="{D5CDD505-2E9C-101B-9397-08002B2CF9AE}" pid="4" name="MSIP_Label_390ead1b-2ced-4a17-a428-0ccbf3974336_SetDate">
    <vt:lpwstr>2023-11-03T12:43:56Z</vt:lpwstr>
  </property>
  <property fmtid="{D5CDD505-2E9C-101B-9397-08002B2CF9AE}" pid="5" name="MSIP_Label_390ead1b-2ced-4a17-a428-0ccbf3974336_Method">
    <vt:lpwstr>Standard</vt:lpwstr>
  </property>
  <property fmtid="{D5CDD505-2E9C-101B-9397-08002B2CF9AE}" pid="6" name="MSIP_Label_390ead1b-2ced-4a17-a428-0ccbf3974336_Name">
    <vt:lpwstr>Private</vt:lpwstr>
  </property>
  <property fmtid="{D5CDD505-2E9C-101B-9397-08002B2CF9AE}" pid="7" name="MSIP_Label_390ead1b-2ced-4a17-a428-0ccbf3974336_SiteId">
    <vt:lpwstr>fb7745a4-ae65-459f-bf07-faceb9413d87</vt:lpwstr>
  </property>
  <property fmtid="{D5CDD505-2E9C-101B-9397-08002B2CF9AE}" pid="8" name="MSIP_Label_390ead1b-2ced-4a17-a428-0ccbf3974336_ActionId">
    <vt:lpwstr>d5e80075-6458-4374-85cc-c11bc17ab10e</vt:lpwstr>
  </property>
  <property fmtid="{D5CDD505-2E9C-101B-9397-08002B2CF9AE}" pid="9" name="MSIP_Label_390ead1b-2ced-4a17-a428-0ccbf3974336_ContentBits">
    <vt:lpwstr>0</vt:lpwstr>
  </property>
</Properties>
</file>